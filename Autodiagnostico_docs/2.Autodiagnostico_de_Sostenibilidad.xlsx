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D:\CCM\Mundo Verde\Curso\Módulo 4\"/>
    </mc:Choice>
  </mc:AlternateContent>
  <xr:revisionPtr revIDLastSave="0" documentId="13_ncr:1_{BDBFCC56-14AA-45C9-A4AA-4475F9F42375}" xr6:coauthVersionLast="47" xr6:coauthVersionMax="47" xr10:uidLastSave="{00000000-0000-0000-0000-000000000000}"/>
  <bookViews>
    <workbookView xWindow="-108" yWindow="-108" windowWidth="23256" windowHeight="12456" tabRatio="1000" xr2:uid="{00000000-000D-0000-FFFF-FFFF00000000}"/>
  </bookViews>
  <sheets>
    <sheet name="INSTRUCTIVO" sheetId="1" r:id="rId1"/>
    <sheet name="DIAGNOSTICO ECONOMICO" sheetId="2" r:id="rId2"/>
    <sheet name="DATOS A." sheetId="3" r:id="rId3"/>
    <sheet name="DIAGNOSTICO GESTIÓN AMBIENTAL" sheetId="4" r:id="rId4"/>
    <sheet name="DATOS B." sheetId="5" r:id="rId5"/>
    <sheet name="DIAGNOSTICO ENERGIA" sheetId="6" r:id="rId6"/>
    <sheet name="DATOS C." sheetId="7" r:id="rId7"/>
    <sheet name="DIAGNOSTICO SEGURIDAD Y SALUD E" sheetId="8" r:id="rId8"/>
    <sheet name="DATOS D." sheetId="9" r:id="rId9"/>
    <sheet name="DIAGNOSTICO ASPECTOS SOCIALES" sheetId="10" r:id="rId10"/>
    <sheet name="DATOS E." sheetId="11" r:id="rId11"/>
    <sheet name="DIAGNOSTICO ALMACEN" sheetId="12" r:id="rId12"/>
    <sheet name="DATOS F." sheetId="13" r:id="rId13"/>
    <sheet name="PROMEDIO PORCENTUAL DIAGNOSTICO" sheetId="14" r:id="rId14"/>
  </sheets>
  <definedNames>
    <definedName name="_xlnm.Print_Area" localSheetId="0">INSTRUCTIVO!$A$1:$F$66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57" i="8" l="1"/>
  <c r="C57" i="9" s="1"/>
  <c r="N250" i="8"/>
  <c r="C56" i="9"/>
  <c r="M175" i="10"/>
  <c r="M168" i="10"/>
  <c r="M161" i="10"/>
  <c r="M154" i="10"/>
  <c r="M147" i="10"/>
  <c r="M140" i="10"/>
  <c r="M306" i="10"/>
  <c r="M129" i="10"/>
  <c r="M299" i="10"/>
  <c r="M122" i="10"/>
  <c r="M292" i="10"/>
  <c r="M115" i="10"/>
  <c r="M285" i="10"/>
  <c r="M108" i="10"/>
  <c r="M278" i="10"/>
  <c r="M101" i="10"/>
  <c r="M271" i="10"/>
  <c r="M94" i="10"/>
  <c r="M261" i="10"/>
  <c r="M84" i="10"/>
  <c r="M254" i="10"/>
  <c r="M77" i="10"/>
  <c r="M247" i="10"/>
  <c r="M70" i="10"/>
  <c r="M240" i="10"/>
  <c r="M63" i="10"/>
  <c r="M233" i="10"/>
  <c r="M56" i="10"/>
  <c r="M226" i="10"/>
  <c r="M49" i="10"/>
  <c r="M219" i="10"/>
  <c r="M42" i="10"/>
  <c r="M212" i="10"/>
  <c r="M205" i="10"/>
  <c r="M32" i="10"/>
  <c r="M198" i="10"/>
  <c r="M25" i="10"/>
  <c r="M191" i="10"/>
  <c r="M18" i="10"/>
  <c r="M184" i="10"/>
  <c r="M11" i="10"/>
  <c r="N175" i="10"/>
  <c r="N168" i="10"/>
  <c r="N161" i="10"/>
  <c r="C32" i="11" s="1"/>
  <c r="N154" i="10"/>
  <c r="C31" i="11" s="1"/>
  <c r="N147" i="10"/>
  <c r="N140" i="10"/>
  <c r="N306" i="10"/>
  <c r="N129" i="10"/>
  <c r="C26" i="11" s="1"/>
  <c r="N299" i="10"/>
  <c r="C55" i="11" s="1"/>
  <c r="N122" i="10"/>
  <c r="N292" i="10"/>
  <c r="C54" i="11" s="1"/>
  <c r="N115" i="10"/>
  <c r="C24" i="11" s="1"/>
  <c r="N285" i="10"/>
  <c r="C53" i="11" s="1"/>
  <c r="N108" i="10"/>
  <c r="N278" i="10"/>
  <c r="C52" i="11" s="1"/>
  <c r="N101" i="10"/>
  <c r="C22" i="11" s="1"/>
  <c r="N271" i="10"/>
  <c r="C51" i="11" s="1"/>
  <c r="N94" i="10"/>
  <c r="N261" i="10"/>
  <c r="N84" i="10"/>
  <c r="C18" i="11" s="1"/>
  <c r="N254" i="10"/>
  <c r="C47" i="11" s="1"/>
  <c r="N77" i="10"/>
  <c r="N247" i="10"/>
  <c r="N70" i="10"/>
  <c r="C16" i="11" s="1"/>
  <c r="N240" i="10"/>
  <c r="C45" i="11" s="1"/>
  <c r="N63" i="10"/>
  <c r="N233" i="10"/>
  <c r="C44" i="11" s="1"/>
  <c r="N56" i="10"/>
  <c r="C14" i="11" s="1"/>
  <c r="N226" i="10"/>
  <c r="C43" i="11" s="1"/>
  <c r="N49" i="10"/>
  <c r="N219" i="10"/>
  <c r="C42" i="11" s="1"/>
  <c r="N42" i="10"/>
  <c r="C12" i="11" s="1"/>
  <c r="N212" i="10"/>
  <c r="C41" i="11" s="1"/>
  <c r="N205" i="10"/>
  <c r="N32" i="10"/>
  <c r="C9" i="11" s="1"/>
  <c r="N198" i="10"/>
  <c r="N25" i="10"/>
  <c r="N191" i="10"/>
  <c r="N18" i="10"/>
  <c r="N184" i="10"/>
  <c r="C37" i="11" s="1"/>
  <c r="N11" i="10"/>
  <c r="C6" i="11" s="1"/>
  <c r="N84" i="12"/>
  <c r="N77" i="12"/>
  <c r="C17" i="13" s="1"/>
  <c r="N70" i="12"/>
  <c r="C16" i="13" s="1"/>
  <c r="N60" i="12"/>
  <c r="N53" i="12"/>
  <c r="N46" i="12"/>
  <c r="C11" i="13" s="1"/>
  <c r="N121" i="12"/>
  <c r="C25" i="13" s="1"/>
  <c r="N39" i="12"/>
  <c r="C10" i="13" s="1"/>
  <c r="N114" i="12"/>
  <c r="N32" i="12"/>
  <c r="N107" i="12"/>
  <c r="N25" i="12"/>
  <c r="C8" i="13" s="1"/>
  <c r="N100" i="12"/>
  <c r="C22" i="13" s="1"/>
  <c r="N18" i="12"/>
  <c r="N93" i="12"/>
  <c r="C21" i="13" s="1"/>
  <c r="N11" i="12"/>
  <c r="C6" i="13" s="1"/>
  <c r="M84" i="12"/>
  <c r="M77" i="12"/>
  <c r="M70" i="12"/>
  <c r="M60" i="12"/>
  <c r="M53" i="12"/>
  <c r="M46" i="12"/>
  <c r="M121" i="12"/>
  <c r="M39" i="12"/>
  <c r="M114" i="12"/>
  <c r="M32" i="12"/>
  <c r="M107" i="12"/>
  <c r="M25" i="12"/>
  <c r="M100" i="12"/>
  <c r="M18" i="12"/>
  <c r="M93" i="12"/>
  <c r="M11" i="12"/>
  <c r="N18" i="8"/>
  <c r="C9" i="9" s="1"/>
  <c r="M153" i="8"/>
  <c r="M146" i="8"/>
  <c r="M139" i="8"/>
  <c r="M132" i="8"/>
  <c r="M125" i="8"/>
  <c r="M116" i="8"/>
  <c r="M109" i="8"/>
  <c r="M257" i="8"/>
  <c r="M102" i="8"/>
  <c r="M250" i="8"/>
  <c r="M95" i="8"/>
  <c r="M243" i="8"/>
  <c r="M86" i="8"/>
  <c r="M236" i="8"/>
  <c r="M79" i="8"/>
  <c r="M227" i="8"/>
  <c r="M72" i="8"/>
  <c r="M220" i="8"/>
  <c r="M65" i="8"/>
  <c r="M213" i="8"/>
  <c r="M58" i="8"/>
  <c r="M206" i="8"/>
  <c r="M49" i="8"/>
  <c r="M199" i="8"/>
  <c r="M42" i="8"/>
  <c r="M190" i="8"/>
  <c r="M183" i="8"/>
  <c r="M32" i="8"/>
  <c r="M176" i="8"/>
  <c r="M25" i="8"/>
  <c r="M169" i="8"/>
  <c r="M18" i="8"/>
  <c r="M161" i="8"/>
  <c r="M10" i="8"/>
  <c r="N153" i="8"/>
  <c r="N146" i="8"/>
  <c r="N139" i="8"/>
  <c r="C33" i="9" s="1"/>
  <c r="N132" i="8"/>
  <c r="N125" i="8"/>
  <c r="N116" i="8"/>
  <c r="N109" i="8"/>
  <c r="C27" i="9" s="1"/>
  <c r="N102" i="8"/>
  <c r="N95" i="8"/>
  <c r="C25" i="9" s="1"/>
  <c r="N243" i="8"/>
  <c r="N86" i="8"/>
  <c r="C22" i="9" s="1"/>
  <c r="N236" i="8"/>
  <c r="C54" i="9" s="1"/>
  <c r="G17" i="9" s="1"/>
  <c r="N79" i="8"/>
  <c r="N227" i="8"/>
  <c r="C51" i="9" s="1"/>
  <c r="N72" i="8"/>
  <c r="C20" i="9" s="1"/>
  <c r="N220" i="8"/>
  <c r="C50" i="9" s="1"/>
  <c r="N65" i="8"/>
  <c r="N213" i="8"/>
  <c r="N58" i="8"/>
  <c r="C18" i="9" s="1"/>
  <c r="N206" i="8"/>
  <c r="C48" i="9" s="1"/>
  <c r="N49" i="8"/>
  <c r="N199" i="8"/>
  <c r="N42" i="8"/>
  <c r="C14" i="9" s="1"/>
  <c r="G10" i="9" s="1"/>
  <c r="N190" i="8"/>
  <c r="C44" i="9" s="1"/>
  <c r="N183" i="8"/>
  <c r="N32" i="8"/>
  <c r="C11" i="9" s="1"/>
  <c r="N176" i="8"/>
  <c r="C42" i="9" s="1"/>
  <c r="N25" i="8"/>
  <c r="N169" i="8"/>
  <c r="N161" i="8"/>
  <c r="C38" i="9" s="1"/>
  <c r="G14" i="9" s="1"/>
  <c r="N10" i="8"/>
  <c r="C6" i="9" s="1"/>
  <c r="G8" i="9" s="1"/>
  <c r="C10" i="9"/>
  <c r="C19" i="9"/>
  <c r="C15" i="9"/>
  <c r="M121" i="6"/>
  <c r="M114" i="6"/>
  <c r="M107" i="6"/>
  <c r="M97" i="6"/>
  <c r="M90" i="6"/>
  <c r="M83" i="6"/>
  <c r="M76" i="6"/>
  <c r="M69" i="6"/>
  <c r="M59" i="6"/>
  <c r="M52" i="6"/>
  <c r="M45" i="6"/>
  <c r="M38" i="6"/>
  <c r="M31" i="6"/>
  <c r="M24" i="6"/>
  <c r="M17" i="6"/>
  <c r="M10" i="6"/>
  <c r="N121" i="6"/>
  <c r="N114" i="6"/>
  <c r="N107" i="6"/>
  <c r="N97" i="6"/>
  <c r="C20" i="7" s="1"/>
  <c r="N90" i="6"/>
  <c r="C19" i="7" s="1"/>
  <c r="N83" i="6"/>
  <c r="C18" i="7" s="1"/>
  <c r="N76" i="6"/>
  <c r="C17" i="7" s="1"/>
  <c r="N69" i="6"/>
  <c r="C16" i="7" s="1"/>
  <c r="N59" i="6"/>
  <c r="N52" i="6"/>
  <c r="C12" i="7" s="1"/>
  <c r="N45" i="6"/>
  <c r="N38" i="6"/>
  <c r="C10" i="7" s="1"/>
  <c r="N31" i="6"/>
  <c r="N24" i="6"/>
  <c r="C8" i="7" s="1"/>
  <c r="N17" i="6"/>
  <c r="C7" i="7" s="1"/>
  <c r="N10" i="6"/>
  <c r="C6" i="7" s="1"/>
  <c r="N473" i="4"/>
  <c r="N466" i="4"/>
  <c r="C77" i="5" s="1"/>
  <c r="N459" i="4"/>
  <c r="N452" i="4"/>
  <c r="C75" i="5" s="1"/>
  <c r="N445" i="4"/>
  <c r="N438" i="4"/>
  <c r="C73" i="5" s="1"/>
  <c r="N431" i="4"/>
  <c r="N424" i="4"/>
  <c r="N417" i="4"/>
  <c r="N410" i="4"/>
  <c r="C69" i="5" s="1"/>
  <c r="N403" i="4"/>
  <c r="C68" i="5" s="1"/>
  <c r="N396" i="4"/>
  <c r="C67" i="5" s="1"/>
  <c r="N389" i="4"/>
  <c r="N382" i="4"/>
  <c r="C65" i="5" s="1"/>
  <c r="N375" i="4"/>
  <c r="C64" i="5" s="1"/>
  <c r="N368" i="4"/>
  <c r="C63" i="5" s="1"/>
  <c r="N361" i="4"/>
  <c r="C62" i="5" s="1"/>
  <c r="N354" i="4"/>
  <c r="C61" i="5" s="1"/>
  <c r="N347" i="4"/>
  <c r="N340" i="4"/>
  <c r="C59" i="5" s="1"/>
  <c r="N333" i="4"/>
  <c r="N326" i="4"/>
  <c r="C57" i="5" s="1"/>
  <c r="N319" i="4"/>
  <c r="C56" i="5" s="1"/>
  <c r="N312" i="4"/>
  <c r="C55" i="5" s="1"/>
  <c r="N305" i="4"/>
  <c r="N298" i="4"/>
  <c r="C53" i="5" s="1"/>
  <c r="N291" i="4"/>
  <c r="C52" i="5" s="1"/>
  <c r="N284" i="4"/>
  <c r="C51" i="5" s="1"/>
  <c r="N277" i="4"/>
  <c r="N270" i="4"/>
  <c r="C49" i="5" s="1"/>
  <c r="N263" i="4"/>
  <c r="C48" i="5" s="1"/>
  <c r="N256" i="4"/>
  <c r="C47" i="5" s="1"/>
  <c r="N249" i="4"/>
  <c r="N242" i="4"/>
  <c r="C45" i="5" s="1"/>
  <c r="N235" i="4"/>
  <c r="N224" i="4"/>
  <c r="C41" i="5" s="1"/>
  <c r="N217" i="4"/>
  <c r="N210" i="4"/>
  <c r="C39" i="5" s="1"/>
  <c r="N203" i="4"/>
  <c r="C38" i="5" s="1"/>
  <c r="N196" i="4"/>
  <c r="C37" i="5" s="1"/>
  <c r="N189" i="4"/>
  <c r="N182" i="4"/>
  <c r="C35" i="5" s="1"/>
  <c r="N175" i="4"/>
  <c r="C34" i="5" s="1"/>
  <c r="N168" i="4"/>
  <c r="C33" i="5" s="1"/>
  <c r="N161" i="4"/>
  <c r="N154" i="4"/>
  <c r="C31" i="5" s="1"/>
  <c r="N147" i="4"/>
  <c r="C30" i="5" s="1"/>
  <c r="N137" i="4"/>
  <c r="C27" i="5" s="1"/>
  <c r="N130" i="4"/>
  <c r="N123" i="4"/>
  <c r="C25" i="5" s="1"/>
  <c r="N116" i="4"/>
  <c r="N109" i="4"/>
  <c r="C23" i="5" s="1"/>
  <c r="N99" i="4"/>
  <c r="N560" i="4"/>
  <c r="C92" i="5" s="1"/>
  <c r="N92" i="4"/>
  <c r="C19" i="5" s="1"/>
  <c r="N553" i="4"/>
  <c r="C91" i="5" s="1"/>
  <c r="N85" i="4"/>
  <c r="N546" i="4"/>
  <c r="C90" i="5" s="1"/>
  <c r="N78" i="4"/>
  <c r="C17" i="5" s="1"/>
  <c r="N539" i="4"/>
  <c r="C89" i="5" s="1"/>
  <c r="N71" i="4"/>
  <c r="N532" i="4"/>
  <c r="C88" i="5" s="1"/>
  <c r="N64" i="4"/>
  <c r="N525" i="4"/>
  <c r="C87" i="5" s="1"/>
  <c r="N57" i="4"/>
  <c r="N50" i="4"/>
  <c r="C13" i="5" s="1"/>
  <c r="N518" i="4"/>
  <c r="N511" i="4"/>
  <c r="N40" i="4"/>
  <c r="N504" i="4"/>
  <c r="C84" i="5" s="1"/>
  <c r="N33" i="4"/>
  <c r="C9" i="5" s="1"/>
  <c r="N497" i="4"/>
  <c r="N26" i="4"/>
  <c r="N490" i="4"/>
  <c r="C82" i="5" s="1"/>
  <c r="N19" i="4"/>
  <c r="C7" i="5" s="1"/>
  <c r="N483" i="4"/>
  <c r="C81" i="5" s="1"/>
  <c r="N12" i="4"/>
  <c r="M473" i="4"/>
  <c r="M466" i="4"/>
  <c r="M459" i="4"/>
  <c r="M452" i="4"/>
  <c r="M445" i="4"/>
  <c r="M438" i="4"/>
  <c r="M431" i="4"/>
  <c r="M424" i="4"/>
  <c r="M417" i="4"/>
  <c r="M410" i="4"/>
  <c r="M403" i="4"/>
  <c r="M396" i="4"/>
  <c r="M389" i="4"/>
  <c r="M382" i="4"/>
  <c r="M375" i="4"/>
  <c r="M368" i="4"/>
  <c r="M361" i="4"/>
  <c r="M354" i="4"/>
  <c r="M347" i="4"/>
  <c r="M340" i="4"/>
  <c r="M333" i="4"/>
  <c r="M326" i="4"/>
  <c r="M319" i="4"/>
  <c r="M312" i="4"/>
  <c r="M305" i="4"/>
  <c r="M298" i="4"/>
  <c r="M291" i="4"/>
  <c r="M284" i="4"/>
  <c r="M277" i="4"/>
  <c r="M270" i="4"/>
  <c r="M263" i="4"/>
  <c r="M256" i="4"/>
  <c r="M249" i="4"/>
  <c r="M242" i="4"/>
  <c r="M235" i="4"/>
  <c r="M224" i="4"/>
  <c r="M217" i="4"/>
  <c r="M210" i="4"/>
  <c r="M203" i="4"/>
  <c r="M196" i="4"/>
  <c r="M189" i="4"/>
  <c r="M182" i="4"/>
  <c r="M175" i="4"/>
  <c r="M168" i="4"/>
  <c r="M161" i="4"/>
  <c r="M154" i="4"/>
  <c r="M147" i="4"/>
  <c r="M137" i="4"/>
  <c r="M130" i="4"/>
  <c r="M123" i="4"/>
  <c r="M116" i="4"/>
  <c r="M109" i="4"/>
  <c r="M99" i="4"/>
  <c r="M560" i="4"/>
  <c r="M92" i="4"/>
  <c r="M553" i="4"/>
  <c r="M85" i="4"/>
  <c r="M546" i="4"/>
  <c r="M78" i="4"/>
  <c r="M539" i="4"/>
  <c r="M71" i="4"/>
  <c r="M532" i="4"/>
  <c r="M64" i="4"/>
  <c r="M525" i="4"/>
  <c r="M57" i="4"/>
  <c r="M50" i="4"/>
  <c r="M518" i="4"/>
  <c r="M511" i="4"/>
  <c r="M40" i="4"/>
  <c r="M504" i="4"/>
  <c r="M33" i="4"/>
  <c r="M497" i="4"/>
  <c r="M26" i="4"/>
  <c r="M490" i="4"/>
  <c r="M19" i="4"/>
  <c r="M483" i="4"/>
  <c r="M12" i="4"/>
  <c r="N205" i="2"/>
  <c r="C43" i="3" s="1"/>
  <c r="H24" i="3" s="1"/>
  <c r="N195" i="2"/>
  <c r="N188" i="2"/>
  <c r="N181" i="2"/>
  <c r="C38" i="3" s="1"/>
  <c r="N171" i="2"/>
  <c r="C35" i="3" s="1"/>
  <c r="N164" i="2"/>
  <c r="C34" i="3" s="1"/>
  <c r="N154" i="2"/>
  <c r="N147" i="2"/>
  <c r="C30" i="3" s="1"/>
  <c r="N140" i="2"/>
  <c r="C29" i="3" s="1"/>
  <c r="N133" i="2"/>
  <c r="C28" i="3" s="1"/>
  <c r="N126" i="2"/>
  <c r="N119" i="2"/>
  <c r="C26" i="3" s="1"/>
  <c r="N109" i="2"/>
  <c r="N102" i="2"/>
  <c r="C22" i="3" s="1"/>
  <c r="N95" i="2"/>
  <c r="N88" i="2"/>
  <c r="C20" i="3" s="1"/>
  <c r="N78" i="2"/>
  <c r="N71" i="2"/>
  <c r="N61" i="2"/>
  <c r="N54" i="2"/>
  <c r="C12" i="3" s="1"/>
  <c r="N47" i="2"/>
  <c r="C11" i="3" s="1"/>
  <c r="N40" i="2"/>
  <c r="C10" i="3" s="1"/>
  <c r="N33" i="2"/>
  <c r="N26" i="2"/>
  <c r="C8" i="3" s="1"/>
  <c r="N19" i="2"/>
  <c r="C7" i="3"/>
  <c r="N12" i="2"/>
  <c r="C6" i="3" s="1"/>
  <c r="M205" i="2"/>
  <c r="M195" i="2"/>
  <c r="M188" i="2"/>
  <c r="M181" i="2"/>
  <c r="M171" i="2"/>
  <c r="M164" i="2"/>
  <c r="M154" i="2"/>
  <c r="M147" i="2"/>
  <c r="M140" i="2"/>
  <c r="M133" i="2"/>
  <c r="M126" i="2"/>
  <c r="M119" i="2"/>
  <c r="M109" i="2"/>
  <c r="M102" i="2"/>
  <c r="M95" i="2"/>
  <c r="M88" i="2"/>
  <c r="M78" i="2"/>
  <c r="M61" i="2"/>
  <c r="M71" i="2"/>
  <c r="M54" i="2"/>
  <c r="M47" i="2"/>
  <c r="M40" i="2"/>
  <c r="M33" i="2"/>
  <c r="M26" i="2"/>
  <c r="M19" i="2"/>
  <c r="M12" i="2"/>
  <c r="C24" i="13"/>
  <c r="C23" i="13"/>
  <c r="C18" i="13"/>
  <c r="C13" i="13"/>
  <c r="C12" i="13"/>
  <c r="C9" i="13"/>
  <c r="C7" i="13"/>
  <c r="C56" i="11"/>
  <c r="C48" i="11"/>
  <c r="C46" i="11"/>
  <c r="C40" i="11"/>
  <c r="C39" i="11"/>
  <c r="C38" i="11"/>
  <c r="C34" i="11"/>
  <c r="C33" i="11"/>
  <c r="C30" i="11"/>
  <c r="C29" i="11"/>
  <c r="C25" i="11"/>
  <c r="C23" i="11"/>
  <c r="C21" i="11"/>
  <c r="C17" i="11"/>
  <c r="C15" i="11"/>
  <c r="C13" i="11"/>
  <c r="C8" i="11"/>
  <c r="C7" i="11"/>
  <c r="C55" i="9"/>
  <c r="C49" i="9"/>
  <c r="C47" i="9"/>
  <c r="C43" i="9"/>
  <c r="C41" i="9"/>
  <c r="C35" i="9"/>
  <c r="C34" i="9"/>
  <c r="C32" i="9"/>
  <c r="C31" i="9"/>
  <c r="C28" i="9"/>
  <c r="C26" i="9"/>
  <c r="C21" i="9"/>
  <c r="C13" i="7"/>
  <c r="C11" i="7"/>
  <c r="C25" i="7"/>
  <c r="C24" i="7"/>
  <c r="C23" i="7"/>
  <c r="C9" i="7"/>
  <c r="C86" i="5"/>
  <c r="C85" i="5"/>
  <c r="C83" i="5"/>
  <c r="C78" i="5"/>
  <c r="C76" i="5"/>
  <c r="C74" i="5"/>
  <c r="C72" i="5"/>
  <c r="C71" i="5"/>
  <c r="C70" i="5"/>
  <c r="C66" i="5"/>
  <c r="C60" i="5"/>
  <c r="C58" i="5"/>
  <c r="C54" i="5"/>
  <c r="C50" i="5"/>
  <c r="C46" i="5"/>
  <c r="C44" i="5"/>
  <c r="C40" i="5"/>
  <c r="C36" i="5"/>
  <c r="C32" i="5"/>
  <c r="C26" i="5"/>
  <c r="C24" i="5"/>
  <c r="C20" i="5"/>
  <c r="C18" i="5"/>
  <c r="C16" i="5"/>
  <c r="C15" i="5"/>
  <c r="C14" i="5"/>
  <c r="C10" i="5"/>
  <c r="C8" i="5"/>
  <c r="C40" i="3"/>
  <c r="C39" i="3"/>
  <c r="C31" i="3"/>
  <c r="C27" i="3"/>
  <c r="C23" i="3"/>
  <c r="C21" i="3"/>
  <c r="C17" i="3"/>
  <c r="C16" i="3"/>
  <c r="H19" i="3" s="1"/>
  <c r="C13" i="3"/>
  <c r="C9" i="3"/>
  <c r="H9" i="7"/>
  <c r="C6" i="5"/>
  <c r="H9" i="13" l="1"/>
  <c r="H8" i="13"/>
  <c r="H7" i="13"/>
  <c r="H11" i="13" s="1"/>
  <c r="D8" i="14" s="1"/>
  <c r="J14" i="11"/>
  <c r="J13" i="11"/>
  <c r="J12" i="11"/>
  <c r="J11" i="11"/>
  <c r="J10" i="11"/>
  <c r="J9" i="11"/>
  <c r="G12" i="9"/>
  <c r="G11" i="9"/>
  <c r="G9" i="9"/>
  <c r="G16" i="9"/>
  <c r="H8" i="7"/>
  <c r="H7" i="7"/>
  <c r="H11" i="7" s="1"/>
  <c r="D5" i="14" s="1"/>
  <c r="H15" i="5"/>
  <c r="H14" i="5"/>
  <c r="H13" i="5"/>
  <c r="H12" i="5"/>
  <c r="H11" i="5"/>
  <c r="H10" i="5"/>
  <c r="H17" i="5" s="1"/>
  <c r="D4" i="14" s="1"/>
  <c r="H23" i="3"/>
  <c r="H22" i="3"/>
  <c r="H21" i="3"/>
  <c r="H20" i="3"/>
  <c r="H18" i="3"/>
  <c r="H26" i="3" s="1"/>
  <c r="D3" i="14" s="1"/>
  <c r="J16" i="11"/>
  <c r="D7" i="14" s="1"/>
  <c r="G13" i="9"/>
  <c r="G19" i="9" s="1"/>
  <c r="D6" i="14" s="1"/>
  <c r="G15" i="9"/>
</calcChain>
</file>

<file path=xl/sharedStrings.xml><?xml version="1.0" encoding="utf-8"?>
<sst xmlns="http://schemas.openxmlformats.org/spreadsheetml/2006/main" count="1481" uniqueCount="587">
  <si>
    <t>IMP</t>
  </si>
  <si>
    <t>Mejorable</t>
  </si>
  <si>
    <t>M</t>
  </si>
  <si>
    <t>AC</t>
  </si>
  <si>
    <t>NA</t>
  </si>
  <si>
    <t>A1. Satisfacción de los requerimientos de clientes y mercados</t>
  </si>
  <si>
    <t>A2. Relación económica con los empleados</t>
  </si>
  <si>
    <t>A3. Relación económica con proveedores</t>
  </si>
  <si>
    <t>A4. Satisfacción de los requerimientos de los inversionistas</t>
  </si>
  <si>
    <t>A5. Relación económica con la sociedad</t>
  </si>
  <si>
    <t>A6. Relacion económica de aspectos financieros</t>
  </si>
  <si>
    <t>A7. Relacion interna de procesos administrativos ambientales</t>
  </si>
  <si>
    <t>B1. Organización de la gestión ambiental</t>
  </si>
  <si>
    <t>B2. Protección del medio ambiente a nivel de la producción</t>
  </si>
  <si>
    <t>B3. Desarrollo de productos tomando en cuenta el medio ambiente</t>
  </si>
  <si>
    <t>B5. Gestión del Recurso Hídrico (Aguas Residuales)</t>
  </si>
  <si>
    <t>B6. Gestión de Residuos Sólidos</t>
  </si>
  <si>
    <t>C1. Tipo y clase  de energía consumida</t>
  </si>
  <si>
    <t>D1. Normatividad</t>
  </si>
  <si>
    <t>D2. Documentación</t>
  </si>
  <si>
    <t>D3. Comité Paritario</t>
  </si>
  <si>
    <t>D4.  Accidentes</t>
  </si>
  <si>
    <t>D5.  Incidentes</t>
  </si>
  <si>
    <t>D7.  Señalización</t>
  </si>
  <si>
    <t>D8. Elementos de Protección Personal</t>
  </si>
  <si>
    <t>D9. Uso de extintores</t>
  </si>
  <si>
    <t>E1. Empleo y mecanismos de evaluación</t>
  </si>
  <si>
    <t>E2. Protección de la salud y condiciones laborales</t>
  </si>
  <si>
    <t>E3. Capacitación, diversidad e incentivos</t>
  </si>
  <si>
    <t>F3. Insumos con alto riesgo de peligrosidad</t>
  </si>
  <si>
    <t>La empresa dispone de un portafolio de productos/ servicios suficientemente innovadores para mantener o abrir nuevos mercados en el corto, mediano y largo plazo.</t>
  </si>
  <si>
    <t xml:space="preserve">1.- </t>
  </si>
  <si>
    <t>2.-</t>
  </si>
  <si>
    <t>La empresa continuamente identifica innovaciones para mejorar sus productos y procesos.</t>
  </si>
  <si>
    <t>3.-</t>
  </si>
  <si>
    <t>4.-</t>
  </si>
  <si>
    <t>La empresa siempre entrega el producto/servicio en el tiempo acordado con el cliente.</t>
  </si>
  <si>
    <t>La calidad del producto/ servicio es consistente y de acuerdo a las expectativas del cliente.</t>
  </si>
  <si>
    <t>5.-</t>
  </si>
  <si>
    <t>La empresa recibe un precio que genera un margen de utilidad razonable y sostenible.</t>
  </si>
  <si>
    <t>6.-</t>
  </si>
  <si>
    <t>Las ventas están distribuidas entre varios clientes (no existe dependencia de uno o unos clientes específicos).</t>
  </si>
  <si>
    <t>7.-</t>
  </si>
  <si>
    <t>Las ventas por cliente aumentan cada año.</t>
  </si>
  <si>
    <t>8.-</t>
  </si>
  <si>
    <t>A1</t>
  </si>
  <si>
    <t>Las ventas y utilidades por empleado aumentan cada año.</t>
  </si>
  <si>
    <t>9.-</t>
  </si>
  <si>
    <t>11.-</t>
  </si>
  <si>
    <t>10.-</t>
  </si>
  <si>
    <t>Los productos, tiempo de entrega, el precio, la calidad y el servicio de los proveedores están de acuerdo a las necesidades de la empresa.</t>
  </si>
  <si>
    <t>12.-</t>
  </si>
  <si>
    <t>13.-</t>
  </si>
  <si>
    <t>La disponibilidad de materia prima está garantizada a corto, mediano y largo plazo.</t>
  </si>
  <si>
    <t>14.-</t>
  </si>
  <si>
    <t>Los proveedores reciben un precio de acuerdo a la calidad de los productos y/o servicios que ofrecen y a las condiciones del mercado.</t>
  </si>
  <si>
    <t>A2</t>
  </si>
  <si>
    <t>15.-</t>
  </si>
  <si>
    <t>La empresa tiene una estructura financiera óptima.</t>
  </si>
  <si>
    <t>16.-</t>
  </si>
  <si>
    <t>La utilidad neta de operación aumenta cada año.</t>
  </si>
  <si>
    <t>La empresa tiene una gestión de cobro adecuada.</t>
  </si>
  <si>
    <t>La empresa tiene un manejo de inventarios adecuado.</t>
  </si>
  <si>
    <t>17.-</t>
  </si>
  <si>
    <t>18.-</t>
  </si>
  <si>
    <t>La utilización de la capacidad instalada es adecuada.</t>
  </si>
  <si>
    <t>19.-</t>
  </si>
  <si>
    <t>La empresa tiene un retorno sobre las inversiones de acuerdo a las condiciones del mercado.</t>
  </si>
  <si>
    <t>20.-</t>
  </si>
  <si>
    <t>La empresa realiza inversiones (tiempo y recursos financieros) en el bienestar familiar de sus empleados y de la comunidad donde se encuentra ubicada.</t>
  </si>
  <si>
    <t>21.-</t>
  </si>
  <si>
    <t>La empresa recibe apoyo de diferentes organizaciones gubernamentales y/o no gubernamentales para lograr sus objetivos económicos, ambientales y sociales.</t>
  </si>
  <si>
    <t>22.-</t>
  </si>
  <si>
    <t>23.-</t>
  </si>
  <si>
    <t xml:space="preserve">24.- </t>
  </si>
  <si>
    <t>25.-</t>
  </si>
  <si>
    <t xml:space="preserve">26.- </t>
  </si>
  <si>
    <t>A3</t>
  </si>
  <si>
    <t>A4</t>
  </si>
  <si>
    <t>A5</t>
  </si>
  <si>
    <t>A6</t>
  </si>
  <si>
    <t>A7</t>
  </si>
  <si>
    <t>La protección del medio ambiente es un objetivo empresarial importante y cuenta con el apoyo activo de la alta gerencia.</t>
  </si>
  <si>
    <t>27.-</t>
  </si>
  <si>
    <t>La empresa ha definido e implementado planes para mejorar su impacto ambiental.</t>
  </si>
  <si>
    <t>En la empresa se ha logrado asegurar un apoyo amplio para la gestión ambiental a través de grupos de discusión y estructuras establecidas.</t>
  </si>
  <si>
    <t>Se mantiene un registro del consumo y salidas de materiales de mayor relevancia y de energía.</t>
  </si>
  <si>
    <t>28.-</t>
  </si>
  <si>
    <t>29.-</t>
  </si>
  <si>
    <t>30.-</t>
  </si>
  <si>
    <t>31.-</t>
  </si>
  <si>
    <t>32.-</t>
  </si>
  <si>
    <t>Hasta donde sea posible, en la empresa se utiliza energía limpia (generada a través de la energía eólica, energía solar, gas y/o la cogeneración).</t>
  </si>
  <si>
    <t>Se están tomando medidas concretas para reducir las emisiones al aire (sustancias como dióxido de carbono, dióxido de azufre y óxidos de nitrógeno).</t>
  </si>
  <si>
    <t>Se están tomando medidas concretas para reducir la cantidad de desechos sólidos, líquidos y gaseosos.</t>
  </si>
  <si>
    <t>La empresa trata de evitar la generación de desechos tóxicos.</t>
  </si>
  <si>
    <t>La empresa trata de optimizar el transporte de materiales, productos intermedios y productos terminados.</t>
  </si>
  <si>
    <t>La empresa evita hacer negocios con proveedores que no toman en cuenta consideraciones ambientales o que no cumplen las normas ambientales.</t>
  </si>
  <si>
    <t>33.-</t>
  </si>
  <si>
    <t>34.-</t>
  </si>
  <si>
    <t>35.-</t>
  </si>
  <si>
    <t>36.-</t>
  </si>
  <si>
    <t>37.-</t>
  </si>
  <si>
    <t>38.-</t>
  </si>
  <si>
    <t>39-</t>
  </si>
  <si>
    <t>En la empresa se procura diseñar productos que requieran un mínimo de recursos y de energía durante su utilización o consumo.</t>
  </si>
  <si>
    <t>En la empresa se fomenta el aprovechamiento de los productos al final de su vida útil (por ejemplo, mediante reutilización, procesamiento o reciclaje).</t>
  </si>
  <si>
    <t>40.-</t>
  </si>
  <si>
    <t>41.-</t>
  </si>
  <si>
    <t>42.-</t>
  </si>
  <si>
    <t>43.-</t>
  </si>
  <si>
    <t>44.-</t>
  </si>
  <si>
    <t>¿Se tiene identificada la fuente de agua para consumo humano?</t>
  </si>
  <si>
    <t>¿Se utiliza el agua lluvia en algún proceso?</t>
  </si>
  <si>
    <t>¿Se utilizan las aguas subterráneas?</t>
  </si>
  <si>
    <t>¿Se utiliza agua almacenada en tanques?</t>
  </si>
  <si>
    <t>¿Se tiene tratamiento de purificación para el agua almacenada en tanques?</t>
  </si>
  <si>
    <t>¿Tiene identificados los procesos en que utiliza agua cruda?</t>
  </si>
  <si>
    <t>¿Tiene identificados los procesos en que utiliza agua potable?</t>
  </si>
  <si>
    <t>¿Tiene identificados los procesos en que utiliza agua tratada?</t>
  </si>
  <si>
    <t>¿Se hacen pruebas de laboratorio al agua de consumo?</t>
  </si>
  <si>
    <t>¿El agua de consumo recibe tratamiento?</t>
  </si>
  <si>
    <t>¿Se han reportado casos de afección a la salud humana  por la falta de tratamiento de aguas?</t>
  </si>
  <si>
    <t>¿Se tienen cuantificados los costos anuales del tratamiento de aguas?</t>
  </si>
  <si>
    <t>45.-</t>
  </si>
  <si>
    <t>46.-</t>
  </si>
  <si>
    <t>47.-</t>
  </si>
  <si>
    <t>48.-</t>
  </si>
  <si>
    <t>49.-</t>
  </si>
  <si>
    <t>50.-</t>
  </si>
  <si>
    <t>51.-</t>
  </si>
  <si>
    <t>52.-</t>
  </si>
  <si>
    <t>53.-</t>
  </si>
  <si>
    <t>54.-</t>
  </si>
  <si>
    <t>55.-</t>
  </si>
  <si>
    <t>56.-</t>
  </si>
  <si>
    <t>¿Se conoce  donde se vierten las aguas residuales?</t>
  </si>
  <si>
    <t>57.-</t>
  </si>
  <si>
    <t>58.-</t>
  </si>
  <si>
    <t>¿Existe tratamiento de las aguas residuales?</t>
  </si>
  <si>
    <t>¿Se conoce el tipo de tratamiento que se hace a las aguas residuales?</t>
  </si>
  <si>
    <t>¿Se tiene registro de los costos por tratamiento de las aguas residuales?</t>
  </si>
  <si>
    <t>¿Existen indicadores de aguas residuales?</t>
  </si>
  <si>
    <t>¿Existen  mediciones de los parámetros físicos y químicos de las aguas residuales? (Si la respuesta es afirmativa, anexe los registros)</t>
  </si>
  <si>
    <t>59.-</t>
  </si>
  <si>
    <t>60.-</t>
  </si>
  <si>
    <t>61.-</t>
  </si>
  <si>
    <t>62.-</t>
  </si>
  <si>
    <t>63.-</t>
  </si>
  <si>
    <t>¿Se han adecuado equipos para mejorar el rendimiento en el consumo de agua?</t>
  </si>
  <si>
    <t>Evitar derrames y excesos para optimizar el consumo de agua</t>
  </si>
  <si>
    <t>Fugas que causan goteo</t>
  </si>
  <si>
    <t>¿Realiza inspección en las cañerías para detección de fugas?</t>
  </si>
  <si>
    <t>¿Hace mantenimiento en las cañerías?</t>
  </si>
  <si>
    <t>¿Han sido selladas o desmontadas las llaves de agua que son prescindibles?</t>
  </si>
  <si>
    <t>¿Existen campañas que recuerdan la importancia de ahorrar de agua?</t>
  </si>
  <si>
    <t>Ahorro de agua durante procesos de limpieza</t>
  </si>
  <si>
    <t>¿El personal hace uso eficiente del agua?</t>
  </si>
  <si>
    <t>Evitar bloqueos al sistema de agua residual</t>
  </si>
  <si>
    <t>¿Existen rejillas para impedir que los residuos sólidos lleguen a la canalización?</t>
  </si>
  <si>
    <t>¿Se hace mantenimiento a las rejillas para minimizar problemas?</t>
  </si>
  <si>
    <t>Tratamiento de agua residual</t>
  </si>
  <si>
    <t>¿Se ha sensibilizado al personal sobre los beneficios que se pueden alcanzar por la reducción del consumo de agua?</t>
  </si>
  <si>
    <t>¿Se han hecho cambios en la formulación de productos para disminuir el consumo de agua?</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</si>
  <si>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</si>
  <si>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</si>
  <si>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</si>
  <si>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</si>
  <si>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</si>
  <si>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</si>
  <si>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</si>
  <si>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</si>
  <si>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</si>
  <si>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</si>
  <si>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</si>
  <si>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</si>
  <si>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</si>
  <si>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</si>
  <si>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</si>
  <si>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</si>
  <si>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</si>
  <si>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</si>
  <si>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</si>
  <si>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</si>
  <si>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</si>
  <si>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</si>
  <si>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</si>
  <si>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</si>
  <si>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</si>
  <si>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</si>
  <si>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</si>
  <si>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</si>
  <si>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</si>
  <si>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</si>
  <si>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</si>
  <si>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</si>
  <si>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¿Se realiza separación en  la fuente?</t>
  </si>
  <si>
    <t>¿Clasifica los residuos sólidos según la Normatividad?</t>
  </si>
  <si>
    <t>96.-</t>
  </si>
  <si>
    <t>97.-</t>
  </si>
  <si>
    <t>98.-</t>
  </si>
  <si>
    <t>99.-</t>
  </si>
  <si>
    <t>100.-</t>
  </si>
  <si>
    <t>101.-</t>
  </si>
  <si>
    <t>102.-</t>
  </si>
  <si>
    <t>103.-</t>
  </si>
  <si>
    <t>104.-</t>
  </si>
  <si>
    <t>¿Existen medidores de energía?</t>
  </si>
  <si>
    <t>105.-</t>
  </si>
  <si>
    <t>¿Las condiciones eléctricas son adecuadas?</t>
  </si>
  <si>
    <t>¿Existen registro de consumo de energía por KW?</t>
  </si>
  <si>
    <t>¿Se ha establecido una frecuencia de registro?</t>
  </si>
  <si>
    <t>¿Aplican un método para ahorrar energía?</t>
  </si>
  <si>
    <t>¿Existen equipos de consumo a gas?</t>
  </si>
  <si>
    <t>¿Existen registros de consumo a gas?</t>
  </si>
  <si>
    <t>¿Existen equipos de protección para riesgos eléctricos?</t>
  </si>
  <si>
    <t>¿Los elementos de protección son los adecuados para prevenir el riesgo?</t>
  </si>
  <si>
    <t>¿Se ha realizado capacitación en riesgo eléctrico?</t>
  </si>
  <si>
    <t>¿Se tiene la señalización pertinente para riesgos eléctricos?</t>
  </si>
  <si>
    <t>106.-</t>
  </si>
  <si>
    <t>107.-</t>
  </si>
  <si>
    <t>108.-</t>
  </si>
  <si>
    <t>109.-</t>
  </si>
  <si>
    <t>110.-</t>
  </si>
  <si>
    <t>111.-</t>
  </si>
  <si>
    <t>112.-</t>
  </si>
  <si>
    <t>113.-</t>
  </si>
  <si>
    <t>114.-</t>
  </si>
  <si>
    <t>115.-</t>
  </si>
  <si>
    <t>116.-</t>
  </si>
  <si>
    <t>117.-</t>
  </si>
  <si>
    <t>118.-</t>
  </si>
  <si>
    <t>119.-</t>
  </si>
  <si>
    <t>120.-</t>
  </si>
  <si>
    <t>121.-</t>
  </si>
  <si>
    <t>¿Se encuentra divulgado e implementado?</t>
  </si>
  <si>
    <t>122.-</t>
  </si>
  <si>
    <t>123.-</t>
  </si>
  <si>
    <t>¿Se han reportado los  accidentes ocurridos?</t>
  </si>
  <si>
    <t>¿Se ha identificado y trabajado en las causas de los accidentes reportados?</t>
  </si>
  <si>
    <t>¿Se tiene identificada la frecuencia con la que ocurren?</t>
  </si>
  <si>
    <t>¿Se conocen casos de enfermedades profesionales?</t>
  </si>
  <si>
    <t>¿Se han reportado los  incidentes ocurridos?</t>
  </si>
  <si>
    <t>¿Se han identificado y trabajado en las causas de los incidentes reportados?</t>
  </si>
  <si>
    <t xml:space="preserve">¿Los incidentes identificados han generado algún impacto ambiental? </t>
  </si>
  <si>
    <t>Si existen, ¿se encuentran documentados, divulgados e implementados?</t>
  </si>
  <si>
    <t>¿Se han realizado simulacros de atención de emergencia?</t>
  </si>
  <si>
    <t>En caso afirmativo, ¿Se tiene identificada la frecuencia con la que se han realizado?</t>
  </si>
  <si>
    <t xml:space="preserve">¿Existe señalización acorde a las normas legales vigentes (Advertencia, Peligro, Ruta de Evacuación)? </t>
  </si>
  <si>
    <t>¿Se cuenta con los elementos de protección necesarios según factores de riesgo?</t>
  </si>
  <si>
    <t>¿Existe evidencia del suministro de los elementos de protección necesarios con la frecuencia indicada?</t>
  </si>
  <si>
    <t>¿Se vigila que el personal utilice los elementos de protección suministrados de manera adecuada durante el desarrollo de la labor?</t>
  </si>
  <si>
    <t>¿Se ha capacitado al personal sobre la importancia del uso adecuado de los elementos de protección suministrados y la manera adecuada de utilizarlos?</t>
  </si>
  <si>
    <t>¿Están identificados y clasificados los riesgos (físicos, químicos y biológicos) de acuerdo a los diferentes puestos de trabajo?</t>
  </si>
  <si>
    <t>¿La distribución y ubicación de los extintores obedece a la reglamentación legal?</t>
  </si>
  <si>
    <t xml:space="preserve">¿Existen evidencias de los registros de mantenimiento de los extintores? </t>
  </si>
  <si>
    <t>¿Se controla la vigencia de los extintores?</t>
  </si>
  <si>
    <t>¿Se ha capacitado al personal sobre el uso adecuado de los extintores?</t>
  </si>
  <si>
    <t>¿Existen métodos de control para identificar nuevos factores de riesgos?</t>
  </si>
  <si>
    <t>¿Existen planos actualizados de las diferentes áreas  para identificar y ubicar factores de riesgo?</t>
  </si>
  <si>
    <t>¿Se tienen acciones frente a los diferentes riesgos existentes?</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</si>
  <si>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</si>
  <si>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</si>
  <si>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</si>
  <si>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</si>
  <si>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</si>
  <si>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</si>
  <si>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</si>
  <si>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</si>
  <si>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</si>
  <si>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</si>
  <si>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</si>
  <si>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</si>
  <si>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</si>
  <si>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</si>
  <si>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</si>
  <si>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</si>
  <si>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</si>
  <si>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</si>
  <si>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</si>
  <si>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</si>
  <si>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</si>
  <si>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</si>
  <si>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</si>
  <si>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</si>
  <si>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</si>
  <si>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</si>
  <si>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</si>
  <si>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</si>
  <si>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</si>
  <si>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</si>
  <si>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La estrategia empresarial se ha formulado de manera que se garantice el empleo a largo plazo.</t>
  </si>
  <si>
    <t>154.-</t>
  </si>
  <si>
    <t>155.-</t>
  </si>
  <si>
    <t>En comparación con otras empresas del sector, la rotación del personal es baja.</t>
  </si>
  <si>
    <t>156.-</t>
  </si>
  <si>
    <t>157.-</t>
  </si>
  <si>
    <t>La empresa se esfuerza por crear y mantener oportunidades de práctica para estudiantes.</t>
  </si>
  <si>
    <t>En la empresa se considera de gran importancia la protección de la salud (tanto de los empleados como del cliente) y se procura la mejora de las condiciones laborales más allá del cumplimiento legal obligatorio.</t>
  </si>
  <si>
    <t>Hasta donde sea posible, se evita el uso de sustancias dañinas para la salud (por ejemplo, sustancias tóxicas).  En caso de que no se pueda evitar, se utilizan cantidades mínimas de estas sustancias y se toman las precauciones correspondientes.</t>
  </si>
  <si>
    <t>Dentro de la empresa se ofrecen cursos y se desarrollan programas dirigidos a mejorar la salud (por ejemplo, ejercicios para la espalda, programas de prevención del síndrome RSI (movimientos repetitivos)).</t>
  </si>
  <si>
    <t>En los últimos años, se ha mantenido un nivel bajo de accidentes laborales o se ha logrado una disminución de los mismos.</t>
  </si>
  <si>
    <t>En comparación con otras empresas del sector, la ausencia por razones médicas es baja.</t>
  </si>
  <si>
    <t>En la empresa, regularmente se hacen chequeos de las condiciones laborales y de salud.</t>
  </si>
  <si>
    <t>158.-</t>
  </si>
  <si>
    <t>159.-</t>
  </si>
  <si>
    <t>160.-</t>
  </si>
  <si>
    <t>161.-</t>
  </si>
  <si>
    <t>162.-</t>
  </si>
  <si>
    <t>163.-</t>
  </si>
  <si>
    <t>164.-</t>
  </si>
  <si>
    <t>La alta gerencia promueve la capacitación de los empleados.</t>
  </si>
  <si>
    <t>165.-</t>
  </si>
  <si>
    <t>La oferta de cursos y capacitación dentro de la empresa es buena.</t>
  </si>
  <si>
    <t>Se involucra en forma activa a los empleados en el desarrollo de nuevos objetivos y proyectos, además de que los empleados pueden aportar sus propias iniciativas también.</t>
  </si>
  <si>
    <t>Hasta donde sea posible, la empresa aplica la rotación de puestos.</t>
  </si>
  <si>
    <t>En la empresa se han organizado reuniones periódicas con el personal sobre el desempeño del personal según criterios lógicos y justos para todos los involucrados y donde se define el plan de desarrollo de cada uno.</t>
  </si>
  <si>
    <t>166.-</t>
  </si>
  <si>
    <t>167.-</t>
  </si>
  <si>
    <t>168.-</t>
  </si>
  <si>
    <t>169.-</t>
  </si>
  <si>
    <t>170.-</t>
  </si>
  <si>
    <t>La empresa busca de forma proactiva la comunicación con la comunidad vecina y establece mecanismos para responder de forma directa, abierta y justa a sus solicitudes y quejas.</t>
  </si>
  <si>
    <t>171.-</t>
  </si>
  <si>
    <t>172.-</t>
  </si>
  <si>
    <t>La empresa verifica si todas las empresas en la cadena de producción (desde los proveedores de materia prima hasta los entes encargados de la recolección y procesamiento de los desechos) trabajan según los reglamentos sociales y de salud (por ejemplo, el trabajo infantil).</t>
  </si>
  <si>
    <t>La empresa se mantiene dentro de la legalidad y principios éticos en las relaciones comerciales y con otros grupos de interés (por ejemplo, evitando la corrupción).</t>
  </si>
  <si>
    <t>Trabajamos en forma abierta con proveedores, clientes y consumidores para promover un desarrollo sostenible de la empresa.</t>
  </si>
  <si>
    <t>173.-</t>
  </si>
  <si>
    <t>174.-</t>
  </si>
  <si>
    <t>175.-</t>
  </si>
  <si>
    <t>176.-</t>
  </si>
  <si>
    <t>E5. Social Interno (Se hace mediante encuesta a la cadena de producción de la empresa)</t>
  </si>
  <si>
    <t>¿Realiza Ud. una adecuada separación de los residuos sólidos que genera?</t>
  </si>
  <si>
    <t>¿Ha participado en sensibilizaciones internas para el manejo integral de residuos sólidos?</t>
  </si>
  <si>
    <t>¿Reutiliza el papel que genera en otras actividades?</t>
  </si>
  <si>
    <t>¿Realiza un consumo adecuado y mínimo del agua cuando la utiliza?</t>
  </si>
  <si>
    <t>¿Ha percibido olores desagradables durante el desempeño de sus actividades?</t>
  </si>
  <si>
    <t>¿Ha presentado problemas de salud debido a estos olores?</t>
  </si>
  <si>
    <t>177.-</t>
  </si>
  <si>
    <t>178.-</t>
  </si>
  <si>
    <t>179.-</t>
  </si>
  <si>
    <t>180.-</t>
  </si>
  <si>
    <t>181.-</t>
  </si>
  <si>
    <t>182.-</t>
  </si>
  <si>
    <t>183.-</t>
  </si>
  <si>
    <t>184.-</t>
  </si>
  <si>
    <t>185.-</t>
  </si>
  <si>
    <t>186.-</t>
  </si>
  <si>
    <t>187.-</t>
  </si>
  <si>
    <t>188.-</t>
  </si>
  <si>
    <t>¿Se han presentado problemas de salud  en las personas por causa de estos olores?</t>
  </si>
  <si>
    <t>¿Se han presentado molestias por causa del ruido generado dentro de la empresa?</t>
  </si>
  <si>
    <t>¿Le ha generado algún perjuicio la cercanía que tiene e la empresa con su vivienda?</t>
  </si>
  <si>
    <t>¿Le ha generado algún beneficio la cercanía que tiene la empresa con su vivienda?</t>
  </si>
  <si>
    <t>189.-</t>
  </si>
  <si>
    <t>190.-</t>
  </si>
  <si>
    <t>191.-</t>
  </si>
  <si>
    <t>192.-</t>
  </si>
  <si>
    <t>193.-</t>
  </si>
  <si>
    <t>194.-</t>
  </si>
  <si>
    <t>¿Requiere  de articulos y/o materias primas?</t>
  </si>
  <si>
    <t>195.-</t>
  </si>
  <si>
    <t>¿Utiliza estrategias para la compra de materiales renovables, reutilizables y reciclables?</t>
  </si>
  <si>
    <t>¿Se presentan impactos ambientales en la bodega?</t>
  </si>
  <si>
    <t>196.-</t>
  </si>
  <si>
    <t>197.-</t>
  </si>
  <si>
    <t>198.-</t>
  </si>
  <si>
    <t>199.-</t>
  </si>
  <si>
    <t>200.-</t>
  </si>
  <si>
    <t>201.-</t>
  </si>
  <si>
    <t>202.-</t>
  </si>
  <si>
    <t>203.-</t>
  </si>
  <si>
    <t>204.-</t>
  </si>
  <si>
    <t>205.-</t>
  </si>
  <si>
    <t>206.-</t>
  </si>
  <si>
    <t>207.-</t>
  </si>
  <si>
    <t>208.-</t>
  </si>
  <si>
    <t>209.-</t>
  </si>
  <si>
    <t>210.-</t>
  </si>
  <si>
    <t>B1</t>
  </si>
  <si>
    <t>B2</t>
  </si>
  <si>
    <t>B3</t>
  </si>
  <si>
    <t>B4</t>
  </si>
  <si>
    <t>B5</t>
  </si>
  <si>
    <t>B6</t>
  </si>
  <si>
    <t>C1</t>
  </si>
  <si>
    <t>C2</t>
  </si>
  <si>
    <t>C3</t>
  </si>
  <si>
    <t>D1</t>
  </si>
  <si>
    <t>D2</t>
  </si>
  <si>
    <t>D3</t>
  </si>
  <si>
    <t>D4</t>
  </si>
  <si>
    <t>D5</t>
  </si>
  <si>
    <t>D6</t>
  </si>
  <si>
    <t>D7</t>
  </si>
  <si>
    <t>D8</t>
  </si>
  <si>
    <t>D9</t>
  </si>
  <si>
    <t>D10</t>
  </si>
  <si>
    <t>E1</t>
  </si>
  <si>
    <t>E2</t>
  </si>
  <si>
    <t>E3</t>
  </si>
  <si>
    <t>E4</t>
  </si>
  <si>
    <t>E5</t>
  </si>
  <si>
    <t>E6</t>
  </si>
  <si>
    <t>F1</t>
  </si>
  <si>
    <t>F2</t>
  </si>
  <si>
    <t>F3</t>
  </si>
  <si>
    <t>A</t>
  </si>
  <si>
    <t>B</t>
  </si>
  <si>
    <t>C</t>
  </si>
  <si>
    <t>D</t>
  </si>
  <si>
    <t>E</t>
  </si>
  <si>
    <t>F</t>
  </si>
  <si>
    <t>Indicador</t>
  </si>
  <si>
    <t>Implementación</t>
  </si>
  <si>
    <t>Necesita acción</t>
  </si>
  <si>
    <t>No aplica/No responde</t>
  </si>
  <si>
    <t>Símbolo</t>
  </si>
  <si>
    <t>Escala</t>
  </si>
  <si>
    <t>Significado</t>
  </si>
  <si>
    <t>No tiene acciones en el proceso y/o no lo conoce.</t>
  </si>
  <si>
    <t>Realizar otros procesos y/o acciones deferentes a los que se realizan actualmente para mejorar el proceso ambiental.</t>
  </si>
  <si>
    <t>Una implementación es la realización de una aplicación, instalación o la ejecución de un plan, idea, modelo científico, diseño, especificación, estándar, algoritmo o política.</t>
  </si>
  <si>
    <t>Componente ambiental</t>
  </si>
  <si>
    <t>Aspecto:</t>
  </si>
  <si>
    <t>A. Económico</t>
  </si>
  <si>
    <t>C. Gestión energía</t>
  </si>
  <si>
    <t>E. Aspectos sociales y responsabilidad social empresarial</t>
  </si>
  <si>
    <t>F. Almacenamiento de insumos y materia prima</t>
  </si>
  <si>
    <t>A6. Relación económica de aspectos financieros</t>
  </si>
  <si>
    <t>A7. Relación interna de procesos administrativos ambientales</t>
  </si>
  <si>
    <t>B4. Gestión del recurso hídrico, consumo de agua</t>
  </si>
  <si>
    <t>B5. Gestión del recurso hídrico (Aguas residuales)</t>
  </si>
  <si>
    <t>B6. Gestión de residuos sólidos</t>
  </si>
  <si>
    <t>D6 Planes de emergencia</t>
  </si>
  <si>
    <t>D3. Comité paritario</t>
  </si>
  <si>
    <t>D8. Elementos de protección personal</t>
  </si>
  <si>
    <t>E6. Social externo (Se hace mediante encuesta de producción y servicio de los clientes)</t>
  </si>
  <si>
    <t>F1. Registro y fichas de almacenamiento de los insumos y productos</t>
  </si>
  <si>
    <t>F2. Señalización y rutas de almacenamiento</t>
  </si>
  <si>
    <t>Aspectos ambientales</t>
  </si>
  <si>
    <t>La empresa continuamente identifica nuevas oportunidades de mercado para sus productos.</t>
  </si>
  <si>
    <t>Los empleados reciben un salario y otros incentivos de acuerdo a sus conocimientos, el costo de vida, la cantidad de horas laborales (ej. horas extras) y supera el salario mínimo.</t>
  </si>
  <si>
    <t>La empresa trabaja en conjunto con proveedores para fortalecer relaciones de largo plazo.</t>
  </si>
  <si>
    <t>¿La empresa y/o organización tiene activos suficientes para respaldas los créditos adquiridos en caso de riesgo ambiental?</t>
  </si>
  <si>
    <t>La empresa y/o organización incluyen los aspectos ambientales en los procesos financieros medantes técnicas-económicas-financiero.</t>
  </si>
  <si>
    <t>Existen controles administrativos ambiental de la empresa y/o organización en el uso racional de los recursos (compara y uso de papel, energía, agua entre otros)</t>
  </si>
  <si>
    <t>Tiene en cuenta las variables ambientales dentro de los riesgos financieros de la empresa y/o organización.</t>
  </si>
  <si>
    <t>Diagnostico económico</t>
  </si>
  <si>
    <t>Item</t>
  </si>
  <si>
    <t>Promedio</t>
  </si>
  <si>
    <t>B. Medio ambiental</t>
  </si>
  <si>
    <t>Antes de hacer grandes inversiones (Por ejemplo, en nuevas instalaciones, maquinaria o equipos) se investiga el impacto de las mismas en el medio ambiente.</t>
  </si>
  <si>
    <t>En la empresa se trata de minimizar el uso de recursos (por ejemplo, materiales, energía, agua, etc.).</t>
  </si>
  <si>
    <t>La empresa trata de evitar la generación de aguas residuales.</t>
  </si>
  <si>
    <t>En el diseño de productos la empresa procura minimizar el uso de materia prima e incluye criterios ecológicos al seleccionarlas.</t>
  </si>
  <si>
    <t>En el diseño de productos la empresa procura minimizar el uso de materiales de empaque e incluye criterios ecológicos al seleccionarlos.</t>
  </si>
  <si>
    <t>En el diseño de productos la empresa toma en cuenta aspectos ambientales al definir el proceso para su producción (uso energía, desechos, agua residuales, etc.).</t>
  </si>
  <si>
    <t>¿Se conoce y se aplica la legislación relacionada con el manejo de las aguas residuales?</t>
  </si>
  <si>
    <t>Reducción del consumo de agua en el proceso productivo</t>
  </si>
  <si>
    <t>¿Se han ejecutado acciones para reducir el consumo de agua?</t>
  </si>
  <si>
    <t>¿Existe consumo excesivo de agua en los procesos de producción?</t>
  </si>
  <si>
    <t>¿Se han ejecutado planes de capacitación para mejorar las prácticas de manejo de aguas?</t>
  </si>
  <si>
    <t>¿Se regulan las bombas de agua y las cañerías?</t>
  </si>
  <si>
    <t>¿Tiene instalados instrumentos para la medición del agua?</t>
  </si>
  <si>
    <t>Reutilización o recicle del agua</t>
  </si>
  <si>
    <t>¿Se considera la posibilidad de reutilizar por lo menos una fracción del agua de lavado o limpieza?</t>
  </si>
  <si>
    <t>¿Evalúa las posibilidades de reducir o reciclar el agua en otras fases de la producción (p. ej. Reciclando el agua de refrigeración)?</t>
  </si>
  <si>
    <t>¿Considera usted la posibilidad de recolectar agua lluvia y utilizarla?</t>
  </si>
  <si>
    <t>Reducción del consumo de agua en áreas fuera de producción</t>
  </si>
  <si>
    <t>¿Verifica que todas las llaves estén correctamente cerradas y no presenten fugas?</t>
  </si>
  <si>
    <t>¿Está su empresa conectada al drenaje público (alcantarillado) que está en servicio?</t>
  </si>
  <si>
    <t>¿Se tiene sitio de almacenamiento intermedio y/o central, cumpliendo con la norma?</t>
  </si>
  <si>
    <t>¿Se cuenta con plan de contingencia para el manejo de los residuos sólidos?</t>
  </si>
  <si>
    <t>¿Se utiliza algún sistema de tratamiento?</t>
  </si>
  <si>
    <t xml:space="preserve">¿Se cuenta con rutas establecidas para el movimiento interno de residuos? </t>
  </si>
  <si>
    <t xml:space="preserve">¿Se cuenta con plan de seguimiento periódico? </t>
  </si>
  <si>
    <t>¿Se elaboran y presentan los informes o reportes?</t>
  </si>
  <si>
    <r>
      <t xml:space="preserve"> </t>
    </r>
    <r>
      <rPr>
        <b/>
        <sz val="14"/>
        <color theme="1"/>
        <rFont val="Arial"/>
        <family val="2"/>
      </rPr>
      <t xml:space="preserve">Aspectos ambientales </t>
    </r>
    <r>
      <rPr>
        <sz val="12"/>
        <color theme="1"/>
        <rFont val="Arial"/>
        <family val="2"/>
      </rPr>
      <t xml:space="preserve">          </t>
    </r>
  </si>
  <si>
    <t>¿Los equipos funcionan con energía eléctrica?</t>
  </si>
  <si>
    <t>¿Existen fichas técnicas de los equipos?</t>
  </si>
  <si>
    <t>¿Existe un plano de la red eléctrica de la instalación?</t>
  </si>
  <si>
    <t>¿Se ha tenido riesgo eléctrico en el área?</t>
  </si>
  <si>
    <t>C3.- Posibilidad de Cambio tecnológico para el consumo de energía.</t>
  </si>
  <si>
    <t>Existe posibilidades de cambio en las tecnologías para el consumo de energía por energías limpias (eólica, solar, gas, entre otras).</t>
  </si>
  <si>
    <t>C2.- Cantidad de energía consumida</t>
  </si>
  <si>
    <t>C3.- Posibilidad de Cambio tecnológico para el consumo de energía</t>
  </si>
  <si>
    <t>¿Se cuenta con un comité paritario?</t>
  </si>
  <si>
    <t>¿Existen evidencias del trabajo realizado por dicho comité?</t>
  </si>
  <si>
    <t xml:space="preserve">¿Los accidentes  presentados han generado algún impacto ambiental? </t>
  </si>
  <si>
    <t>¿Existen planes de contingencia o emergencia?</t>
  </si>
  <si>
    <t>¿Está conformada una brigada de emergencia capacitada para atender cualquier tipo de eventualidades?</t>
  </si>
  <si>
    <t>D10.Panorama de factores de riesgo</t>
  </si>
  <si>
    <r>
      <rPr>
        <b/>
        <sz val="14"/>
        <color theme="1"/>
        <rFont val="Arial"/>
        <family val="2"/>
      </rPr>
      <t xml:space="preserve"> Aspectos ambientales                  </t>
    </r>
    <r>
      <rPr>
        <sz val="12"/>
        <color theme="1"/>
        <rFont val="Arial"/>
        <family val="2"/>
      </rPr>
      <t xml:space="preserve">       </t>
    </r>
  </si>
  <si>
    <t>Diagnóstico económico</t>
  </si>
  <si>
    <t>Diagnóstico promedial</t>
  </si>
  <si>
    <t>Diagnóstico ambiental</t>
  </si>
  <si>
    <t>Diagnóstico energía</t>
  </si>
  <si>
    <t>Diagnóstico salud ocupacional</t>
  </si>
  <si>
    <t>Diagnóstico aspectos sociales</t>
  </si>
  <si>
    <t>Diagnóstico almacén</t>
  </si>
  <si>
    <t>Promedio porcentual diagnóstico</t>
  </si>
  <si>
    <t xml:space="preserve">  Diagnóstico promedial</t>
  </si>
  <si>
    <t xml:space="preserve">E4. Transparencia e interacción </t>
  </si>
  <si>
    <t>E6. Social Externo (Se hace mediante encuesta de producción y servicio de los clientes)</t>
  </si>
  <si>
    <t>F. Almacenamiento e insumo de materia prima</t>
  </si>
  <si>
    <t>¿Clasifica los insumos y materia prima que almacena?  (Según su composición química, física, peligrosidad etc.)</t>
  </si>
  <si>
    <t>¿Dispone los insumos y materia prima peligrosa según alguna norma?</t>
  </si>
  <si>
    <t>¿Considera que el área es  adecuada para el  almacenamiento de los diferentes artículos que maneja?</t>
  </si>
  <si>
    <t>¿Cuenta con las fichas técnicas de todos los productos peligrosos que se requieren para el desarrollo de las actividades?</t>
  </si>
  <si>
    <t>El área de almacén de la empresa se encuentra señalizada de acuerda a la normatividad?</t>
  </si>
  <si>
    <t>El almacén se encuentra con iluminación adecuada.</t>
  </si>
  <si>
    <t>En caso de emergencia existen extintores adecuados de acuerdo a los insumos almacenados.</t>
  </si>
  <si>
    <t>¿Dispone del espacio suficiente y adecuado para almacenar la materia prima e insumos que se necesita.</t>
  </si>
  <si>
    <t>Los insumos y materia prima tiene los pictogramas de acuerdo a las sustancias almacenadas.</t>
  </si>
  <si>
    <t>Los pictogramas son de acuerdo a las sustancias almacenadas.</t>
  </si>
  <si>
    <t>El personal encargado de almacén mantiene los sistemas de alerta.</t>
  </si>
  <si>
    <t>Se han realizado simulacros de evacuación en caso de emergencia y/o evacuación por derrames de sustancias.</t>
  </si>
  <si>
    <t>El encargado de almacén conoce los listados y pictogramas con la nomenclatura correspondiente de identificación de sustancias peligrosas.</t>
  </si>
  <si>
    <t>Dentro de la empresa, todos las personas tienen igualdad de oportunidades, independientemente de edad, religión, género, grupo étnico, discapacidad, orientación sexual, posición económica, o afiliación política y/o grupos de negociación colectiva (por ejemplo, oportunidades de capacitación, representación en puestos gerenciales, tiempos flexibles de trabajo, remuneración, contrataciones, despidos, jubilaciones, etc.)</t>
  </si>
  <si>
    <t>En nuestra empresa se premian los buenos resultados obtenidos y existe un plan de incentivos.</t>
  </si>
  <si>
    <t>La empresa tiene una política de comunicación y transparencia hacia sus grupos de interés (por ejemplo, a través de informes ambientales, informes sociales, informes financieros, etc.).</t>
  </si>
  <si>
    <t>Existe un diálogo abierto entre nuestra empresa y los diferentes grupos en la sociedad (por ejemplo, el mundo científico, los sindicatos, organizaciones medio ambientales, etc.).</t>
  </si>
  <si>
    <t>¿Tiene conocimiento de la disposición final de las aguas residuales que se generan dentro de su área de trabajo?</t>
  </si>
  <si>
    <t>¿Está usted de acuerdo con la instalación de micro medidores de energía y agua para las principales áreas internas?</t>
  </si>
  <si>
    <t>¿Ha interferido el ruido generado en otras áreas de trabajo,  el desempeño de sus actividades?</t>
  </si>
  <si>
    <t>¿Cree usted que en su trabajo se han generado otros tipos de problemas de salud?</t>
  </si>
  <si>
    <t>¿Cree usted que en su área de trabajo se necesita realizar  adecuaciones para mejorar su el ambiente de trabajo?</t>
  </si>
  <si>
    <t xml:space="preserve">¿Se han presentado olores desagradables provenientes de las instalaciones de La empresa? </t>
  </si>
  <si>
    <t xml:space="preserve">¿La empresa le ha generado otros tipos de problemas de salud (aparte de ruido y olores)? </t>
  </si>
  <si>
    <t>F1. Registro y  y fichas de almacenamiento de los insumos y productos</t>
  </si>
  <si>
    <t>Interpretación y categorización de sostenibilidad ambiental</t>
  </si>
  <si>
    <t>Llene los espacios con las siguientes escalas de aceptación. Marque con una X en el recuadro correspondiente:</t>
  </si>
  <si>
    <r>
      <rPr>
        <b/>
        <sz val="12"/>
        <rFont val="Arial"/>
        <family val="2"/>
      </rPr>
      <t>A1</t>
    </r>
    <r>
      <rPr>
        <sz val="12"/>
        <rFont val="Arial"/>
        <family val="2"/>
      </rPr>
      <t>. Satisfacción de los requerimientos de clientes y mercados</t>
    </r>
  </si>
  <si>
    <r>
      <rPr>
        <b/>
        <sz val="12"/>
        <color theme="1"/>
        <rFont val="Arial"/>
        <family val="2"/>
      </rPr>
      <t>A2</t>
    </r>
    <r>
      <rPr>
        <sz val="12"/>
        <color theme="1"/>
        <rFont val="Arial"/>
        <family val="2"/>
      </rPr>
      <t>. Relación económica con los empleados</t>
    </r>
  </si>
  <si>
    <r>
      <rPr>
        <b/>
        <sz val="12"/>
        <color theme="1"/>
        <rFont val="Arial"/>
        <family val="2"/>
      </rPr>
      <t>A3</t>
    </r>
    <r>
      <rPr>
        <sz val="12"/>
        <color theme="1"/>
        <rFont val="Arial"/>
        <family val="2"/>
      </rPr>
      <t>. Relación económica con proveedores</t>
    </r>
  </si>
  <si>
    <r>
      <rPr>
        <b/>
        <sz val="12"/>
        <color theme="1"/>
        <rFont val="Arial"/>
        <family val="2"/>
      </rPr>
      <t>A4</t>
    </r>
    <r>
      <rPr>
        <sz val="12"/>
        <color theme="1"/>
        <rFont val="Arial"/>
        <family val="2"/>
      </rPr>
      <t>. Satisfacción de los requerimientos de los inversionistas</t>
    </r>
  </si>
  <si>
    <r>
      <rPr>
        <b/>
        <sz val="12"/>
        <color theme="1"/>
        <rFont val="Arial"/>
        <family val="2"/>
      </rPr>
      <t>A5</t>
    </r>
    <r>
      <rPr>
        <sz val="12"/>
        <color theme="1"/>
        <rFont val="Arial"/>
        <family val="2"/>
      </rPr>
      <t>. Relación económica con la sociedad</t>
    </r>
  </si>
  <si>
    <r>
      <rPr>
        <b/>
        <sz val="12"/>
        <color theme="1"/>
        <rFont val="Arial"/>
        <family val="2"/>
      </rPr>
      <t>A6</t>
    </r>
    <r>
      <rPr>
        <sz val="12"/>
        <color theme="1"/>
        <rFont val="Arial"/>
        <family val="2"/>
      </rPr>
      <t>. Relación económica de aspectos financieros</t>
    </r>
  </si>
  <si>
    <r>
      <rPr>
        <b/>
        <sz val="12"/>
        <color theme="1"/>
        <rFont val="Arial"/>
        <family val="2"/>
      </rPr>
      <t>A7</t>
    </r>
    <r>
      <rPr>
        <sz val="12"/>
        <color theme="1"/>
        <rFont val="Arial"/>
        <family val="2"/>
      </rPr>
      <t>. Relación interna de procesos administrativos ambientales</t>
    </r>
  </si>
  <si>
    <r>
      <rPr>
        <b/>
        <sz val="12"/>
        <color theme="1"/>
        <rFont val="Arial"/>
        <family val="2"/>
      </rPr>
      <t>B1</t>
    </r>
    <r>
      <rPr>
        <sz val="12"/>
        <color theme="1"/>
        <rFont val="Arial"/>
        <family val="2"/>
      </rPr>
      <t>. Organización de la gestión ambiental</t>
    </r>
  </si>
  <si>
    <r>
      <rPr>
        <b/>
        <sz val="12"/>
        <color theme="1"/>
        <rFont val="Arial"/>
        <family val="2"/>
      </rPr>
      <t>B2</t>
    </r>
    <r>
      <rPr>
        <sz val="12"/>
        <color theme="1"/>
        <rFont val="Arial"/>
        <family val="2"/>
      </rPr>
      <t>. Protección del medio ambiente a nivel de la producción</t>
    </r>
  </si>
  <si>
    <r>
      <rPr>
        <b/>
        <sz val="12"/>
        <color theme="1"/>
        <rFont val="Arial"/>
        <family val="2"/>
      </rPr>
      <t>B3</t>
    </r>
    <r>
      <rPr>
        <sz val="12"/>
        <color theme="1"/>
        <rFont val="Arial"/>
        <family val="2"/>
      </rPr>
      <t>. Desarrollo de productos tomando en cuenta el medio ambiente</t>
    </r>
  </si>
  <si>
    <r>
      <rPr>
        <b/>
        <sz val="12"/>
        <color rgb="FF000000"/>
        <rFont val="Arial"/>
        <family val="2"/>
      </rPr>
      <t>B4</t>
    </r>
    <r>
      <rPr>
        <sz val="12"/>
        <color rgb="FF000000"/>
        <rFont val="Arial"/>
        <family val="2"/>
      </rPr>
      <t>. Gestión del recurso hídrico, consumo de agua</t>
    </r>
  </si>
  <si>
    <r>
      <rPr>
        <b/>
        <sz val="12"/>
        <color rgb="FF000000"/>
        <rFont val="Arial"/>
        <family val="2"/>
      </rPr>
      <t>B5</t>
    </r>
    <r>
      <rPr>
        <sz val="12"/>
        <color rgb="FF000000"/>
        <rFont val="Arial"/>
        <family val="2"/>
      </rPr>
      <t>. Gestión del recurso hídrico (Aguas residuales)</t>
    </r>
  </si>
  <si>
    <r>
      <rPr>
        <b/>
        <sz val="12"/>
        <color rgb="FF000000"/>
        <rFont val="Arial"/>
        <family val="2"/>
      </rPr>
      <t>B6</t>
    </r>
    <r>
      <rPr>
        <sz val="12"/>
        <color rgb="FF000000"/>
        <rFont val="Arial"/>
        <family val="2"/>
      </rPr>
      <t>. Gestión de residuos sólidos</t>
    </r>
  </si>
  <si>
    <r>
      <rPr>
        <b/>
        <sz val="12"/>
        <color rgb="FF000000"/>
        <rFont val="Arial"/>
        <family val="2"/>
      </rPr>
      <t>B7</t>
    </r>
    <r>
      <rPr>
        <sz val="12"/>
        <color rgb="FF000000"/>
        <rFont val="Arial"/>
        <family val="2"/>
      </rPr>
      <t>. Gestión del recurso suelo</t>
    </r>
  </si>
  <si>
    <r>
      <rPr>
        <b/>
        <sz val="12"/>
        <color rgb="FF000000"/>
        <rFont val="Arial"/>
        <family val="2"/>
      </rPr>
      <t>B8</t>
    </r>
    <r>
      <rPr>
        <sz val="12"/>
        <color rgb="FF000000"/>
        <rFont val="Arial"/>
        <family val="2"/>
      </rPr>
      <t>. Emisiones atmosféricas</t>
    </r>
  </si>
  <si>
    <r>
      <rPr>
        <b/>
        <sz val="12"/>
        <color rgb="FF000000"/>
        <rFont val="Arial"/>
        <family val="2"/>
      </rPr>
      <t>B9</t>
    </r>
    <r>
      <rPr>
        <sz val="12"/>
        <color rgb="FF000000"/>
        <rFont val="Arial"/>
        <family val="2"/>
      </rPr>
      <t>. Legislación, normatividad y ordenanzas</t>
    </r>
  </si>
  <si>
    <r>
      <rPr>
        <b/>
        <sz val="12"/>
        <color rgb="FF000000"/>
        <rFont val="Arial"/>
        <family val="2"/>
      </rPr>
      <t>C1</t>
    </r>
    <r>
      <rPr>
        <sz val="12"/>
        <color rgb="FF000000"/>
        <rFont val="Arial"/>
        <family val="2"/>
      </rPr>
      <t>. Tipo y clase de energía consumida</t>
    </r>
  </si>
  <si>
    <r>
      <rPr>
        <b/>
        <sz val="12"/>
        <color rgb="FF000000"/>
        <rFont val="Arial"/>
        <family val="2"/>
      </rPr>
      <t>C2</t>
    </r>
    <r>
      <rPr>
        <sz val="12"/>
        <color rgb="FF000000"/>
        <rFont val="Arial"/>
        <family val="2"/>
      </rPr>
      <t>. Cantidad de Energía Consumida (Identificación por proceso)</t>
    </r>
  </si>
  <si>
    <r>
      <rPr>
        <b/>
        <sz val="12"/>
        <color rgb="FF000000"/>
        <rFont val="Arial"/>
        <family val="2"/>
      </rPr>
      <t>C3</t>
    </r>
    <r>
      <rPr>
        <sz val="12"/>
        <color rgb="FF000000"/>
        <rFont val="Arial"/>
        <family val="2"/>
      </rPr>
      <t>. Posibilidad de Cambio Tecnológico para Consumo de Energía</t>
    </r>
  </si>
  <si>
    <r>
      <rPr>
        <b/>
        <sz val="12"/>
        <color theme="1"/>
        <rFont val="Arial"/>
        <family val="2"/>
      </rPr>
      <t>D1</t>
    </r>
    <r>
      <rPr>
        <sz val="12"/>
        <color theme="1"/>
        <rFont val="Arial"/>
        <family val="2"/>
      </rPr>
      <t>. Normatividad</t>
    </r>
  </si>
  <si>
    <r>
      <rPr>
        <b/>
        <sz val="12"/>
        <color theme="1"/>
        <rFont val="Arial"/>
        <family val="2"/>
      </rPr>
      <t>D2</t>
    </r>
    <r>
      <rPr>
        <sz val="12"/>
        <color theme="1"/>
        <rFont val="Arial"/>
        <family val="2"/>
      </rPr>
      <t>. Documentación</t>
    </r>
  </si>
  <si>
    <r>
      <rPr>
        <b/>
        <sz val="12"/>
        <color theme="1"/>
        <rFont val="Arial"/>
        <family val="2"/>
      </rPr>
      <t>D3</t>
    </r>
    <r>
      <rPr>
        <sz val="12"/>
        <color theme="1"/>
        <rFont val="Arial"/>
        <family val="2"/>
      </rPr>
      <t>. Comité paritario</t>
    </r>
  </si>
  <si>
    <r>
      <rPr>
        <b/>
        <sz val="12"/>
        <color theme="1"/>
        <rFont val="Arial"/>
        <family val="2"/>
      </rPr>
      <t>D4</t>
    </r>
    <r>
      <rPr>
        <sz val="12"/>
        <color theme="1"/>
        <rFont val="Arial"/>
        <family val="2"/>
      </rPr>
      <t>. Accidentes</t>
    </r>
  </si>
  <si>
    <r>
      <rPr>
        <b/>
        <sz val="12"/>
        <color theme="1"/>
        <rFont val="Arial"/>
        <family val="2"/>
      </rPr>
      <t>D5</t>
    </r>
    <r>
      <rPr>
        <sz val="12"/>
        <color theme="1"/>
        <rFont val="Arial"/>
        <family val="2"/>
      </rPr>
      <t>. Incidentes</t>
    </r>
  </si>
  <si>
    <r>
      <rPr>
        <b/>
        <sz val="12"/>
        <color theme="1"/>
        <rFont val="Arial"/>
        <family val="2"/>
      </rPr>
      <t>D6</t>
    </r>
    <r>
      <rPr>
        <sz val="12"/>
        <color theme="1"/>
        <rFont val="Arial"/>
        <family val="2"/>
      </rPr>
      <t>. Planes de emergencia</t>
    </r>
  </si>
  <si>
    <r>
      <rPr>
        <b/>
        <sz val="12"/>
        <color theme="1"/>
        <rFont val="Arial"/>
        <family val="2"/>
      </rPr>
      <t>D7</t>
    </r>
    <r>
      <rPr>
        <sz val="12"/>
        <color theme="1"/>
        <rFont val="Arial"/>
        <family val="2"/>
      </rPr>
      <t>. Señalización</t>
    </r>
  </si>
  <si>
    <r>
      <rPr>
        <b/>
        <sz val="12"/>
        <color theme="1"/>
        <rFont val="Arial"/>
        <family val="2"/>
      </rPr>
      <t>D8</t>
    </r>
    <r>
      <rPr>
        <sz val="12"/>
        <color theme="1"/>
        <rFont val="Arial"/>
        <family val="2"/>
      </rPr>
      <t>. Elementos de protección personal</t>
    </r>
  </si>
  <si>
    <r>
      <rPr>
        <b/>
        <sz val="12"/>
        <color theme="1"/>
        <rFont val="Arial"/>
        <family val="2"/>
      </rPr>
      <t>D9</t>
    </r>
    <r>
      <rPr>
        <sz val="12"/>
        <color theme="1"/>
        <rFont val="Arial"/>
        <family val="2"/>
      </rPr>
      <t>. Uso de extintores</t>
    </r>
  </si>
  <si>
    <r>
      <rPr>
        <b/>
        <sz val="12"/>
        <color theme="1"/>
        <rFont val="Arial"/>
        <family val="2"/>
      </rPr>
      <t>D10</t>
    </r>
    <r>
      <rPr>
        <sz val="12"/>
        <color theme="1"/>
        <rFont val="Arial"/>
        <family val="2"/>
      </rPr>
      <t>. Panorama de factores de riesgo</t>
    </r>
  </si>
  <si>
    <r>
      <rPr>
        <b/>
        <sz val="12"/>
        <color theme="1"/>
        <rFont val="Arial"/>
        <family val="2"/>
      </rPr>
      <t>E1</t>
    </r>
    <r>
      <rPr>
        <sz val="12"/>
        <color theme="1"/>
        <rFont val="Arial"/>
        <family val="2"/>
      </rPr>
      <t>. Empleo y mecanismos de evaluación</t>
    </r>
  </si>
  <si>
    <r>
      <rPr>
        <b/>
        <sz val="12"/>
        <color theme="1"/>
        <rFont val="Arial"/>
        <family val="2"/>
      </rPr>
      <t>E2</t>
    </r>
    <r>
      <rPr>
        <sz val="12"/>
        <color theme="1"/>
        <rFont val="Arial"/>
        <family val="2"/>
      </rPr>
      <t>. Protección de la salud y condiciones laborales</t>
    </r>
  </si>
  <si>
    <r>
      <rPr>
        <b/>
        <sz val="12"/>
        <color theme="1"/>
        <rFont val="Arial"/>
        <family val="2"/>
      </rPr>
      <t>E3</t>
    </r>
    <r>
      <rPr>
        <sz val="12"/>
        <color theme="1"/>
        <rFont val="Arial"/>
        <family val="2"/>
      </rPr>
      <t>. Capacitación, diversidad e incentivos</t>
    </r>
  </si>
  <si>
    <r>
      <rPr>
        <b/>
        <sz val="12"/>
        <color theme="1"/>
        <rFont val="Arial"/>
        <family val="2"/>
      </rPr>
      <t>E4</t>
    </r>
    <r>
      <rPr>
        <sz val="12"/>
        <color theme="1"/>
        <rFont val="Arial"/>
        <family val="2"/>
      </rPr>
      <t xml:space="preserve">. Transparencia y interacción </t>
    </r>
  </si>
  <si>
    <r>
      <rPr>
        <b/>
        <sz val="12"/>
        <color theme="1"/>
        <rFont val="Arial"/>
        <family val="2"/>
      </rPr>
      <t>E5</t>
    </r>
    <r>
      <rPr>
        <sz val="12"/>
        <color theme="1"/>
        <rFont val="Arial"/>
        <family val="2"/>
      </rPr>
      <t>. Social interno (Se hace mediante encuesta a la cadena de producción de la empresa)</t>
    </r>
  </si>
  <si>
    <r>
      <rPr>
        <b/>
        <sz val="12"/>
        <color theme="1"/>
        <rFont val="Arial"/>
        <family val="2"/>
      </rPr>
      <t>E6</t>
    </r>
    <r>
      <rPr>
        <sz val="12"/>
        <color theme="1"/>
        <rFont val="Arial"/>
        <family val="2"/>
      </rPr>
      <t>. Social externo (Se hace mediante encuesta de producción y servicio de los clientes)</t>
    </r>
  </si>
  <si>
    <r>
      <rPr>
        <b/>
        <sz val="12"/>
        <color theme="1"/>
        <rFont val="Arial"/>
        <family val="2"/>
      </rPr>
      <t>F1</t>
    </r>
    <r>
      <rPr>
        <sz val="12"/>
        <color theme="1"/>
        <rFont val="Arial"/>
        <family val="2"/>
      </rPr>
      <t>. Registro y fichas de almacenamiento de los insumos y productos</t>
    </r>
  </si>
  <si>
    <r>
      <rPr>
        <b/>
        <sz val="12"/>
        <color theme="1"/>
        <rFont val="Arial"/>
        <family val="2"/>
      </rPr>
      <t>F2</t>
    </r>
    <r>
      <rPr>
        <sz val="12"/>
        <color theme="1"/>
        <rFont val="Arial"/>
        <family val="2"/>
      </rPr>
      <t>. Señalización y rutas de almacenamiento</t>
    </r>
  </si>
  <si>
    <r>
      <rPr>
        <b/>
        <sz val="12"/>
        <color theme="1"/>
        <rFont val="Arial"/>
        <family val="2"/>
      </rPr>
      <t>F3</t>
    </r>
    <r>
      <rPr>
        <sz val="12"/>
        <color theme="1"/>
        <rFont val="Arial"/>
        <family val="2"/>
      </rPr>
      <t>. Insumos con alto riesgo de peligrosidad</t>
    </r>
  </si>
  <si>
    <t>Hacer pasar una cosa de un estado actual a otro susceptible de mejorar.</t>
  </si>
  <si>
    <t>Autodiagnóstico de sostenibilidad - RAI</t>
  </si>
  <si>
    <t>D. Gestión de seguridad y salud en el trabajo</t>
  </si>
  <si>
    <t>¿Identifica la normatividad que aplica para el Plan de Gestión Integral de Residuos Solidos PGIRS?</t>
  </si>
  <si>
    <t>¿Se ha conformado el Grupo encargado del PGIRS en la empresa?</t>
  </si>
  <si>
    <t xml:space="preserve">¿Se ha realizado el Diagnóstico ambiental sobre el PGIRS? </t>
  </si>
  <si>
    <t xml:space="preserve">¿Se tienen Programas de sensibilización para el PGIRS? </t>
  </si>
  <si>
    <t>D.  Gestión de Seguridad y Salud en el Trabajo</t>
  </si>
  <si>
    <t>¿Se aplica la normatividad de Seguridad y Salud en el Trabajo?</t>
  </si>
  <si>
    <t xml:space="preserve">¿Se encuentra documentado el programa de Seguridad y Salud en el Trabajo?  </t>
  </si>
  <si>
    <t>¿Se tiene elaborado matriz de riesgo?</t>
  </si>
  <si>
    <t>Diagnóstico Seguridad y Salud en el Trabajo</t>
  </si>
  <si>
    <t>Diagnóstico seguridad y salud en el trabajo</t>
  </si>
  <si>
    <t>B. Gestión Ambiental</t>
  </si>
  <si>
    <t>El siguiente formato de autodiagnóstico de sostenibilidad tiene como objetivo buscar el grado de implementación de la empresa en los procesos ambientales. Para mas información, por favor consultar la guía de diligenciemiento del Autodiagnostico de Sostenibilidad -RAI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</si>
</sst>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0"/>
      <name val="Arial"/>
      <family val="2"/>
    </font>
    <font>
      <sz val="10"/>
      <name val="Arial"/>
      <family val="2"/>
    </font>
    <font>
      <b/>
      <sz val="14"/>
      <color theme="1"/>
      <name val="Arial"/>
      <family val="2"/>
    </font>
    <font>
      <sz val="12"/>
      <color theme="1"/>
      <name val="Arial"/>
      <family val="2"/>
    </font>
    <font>
      <b/>
      <sz val="12"/>
      <color theme="1"/>
      <name val="Arial"/>
      <family val="2"/>
    </font>
    <font>
      <sz val="12"/>
      <name val="Arial"/>
      <family val="2"/>
    </font>
    <font>
      <sz val="12"/>
      <color rgb="FF000000"/>
      <name val="Arial"/>
      <family val="2"/>
    </font>
    <font>
      <sz val="12"/>
      <color indexed="8"/>
      <name val="Arial"/>
      <family val="2"/>
    </font>
    <font>
      <b/>
      <sz val="20"/>
      <color theme="1"/>
      <name val="Arial"/>
      <family val="2"/>
    </font>
    <font>
      <b/>
      <sz val="12"/>
      <name val="Arial"/>
      <family val="2"/>
    </font>
    <font>
      <b/>
      <sz val="12"/>
      <color rgb="FF000000"/>
      <name val="Arial"/>
      <family val="2"/>
    </font>
  </fonts>
  <fills count="3">
    <fill>
      <patternFill patternType="none"/>
    </fill>
    <fill>
      <patternFill patternType="gray125"/>
    </fill>
    <fill>
      <patternFill patternType="solid">
        <fgColor rgb="FF92D05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thin">
        <color theme="4"/>
      </top>
      <bottom style="double">
        <color theme="4"/>
      </bottom>
      <diagonal/>
    </border>
    <border>
      <left style="medium">
        <color indexed="64"/>
      </left>
      <right/>
      <top style="double">
        <color rgb="FF00B050"/>
      </top>
      <bottom/>
      <diagonal/>
    </border>
    <border>
      <left/>
      <right/>
      <top style="double">
        <color rgb="FF00B050"/>
      </top>
      <bottom/>
      <diagonal/>
    </border>
    <border>
      <left/>
      <right style="medium">
        <color indexed="64"/>
      </right>
      <top style="double">
        <color rgb="FF00B050"/>
      </top>
      <bottom/>
      <diagonal/>
    </border>
    <border>
      <left style="medium">
        <color indexed="64"/>
      </left>
      <right/>
      <top/>
      <bottom style="double">
        <color rgb="FF00B050"/>
      </bottom>
      <diagonal/>
    </border>
    <border>
      <left/>
      <right/>
      <top/>
      <bottom style="double">
        <color rgb="FF00B050"/>
      </bottom>
      <diagonal/>
    </border>
    <border>
      <left/>
      <right style="medium">
        <color indexed="64"/>
      </right>
      <top/>
      <bottom style="double">
        <color rgb="FF00B050"/>
      </bottom>
      <diagonal/>
    </border>
    <border>
      <left style="medium">
        <color indexed="64"/>
      </left>
      <right/>
      <top style="double">
        <color rgb="FF00B050"/>
      </top>
      <bottom style="double">
        <color rgb="FF00B050"/>
      </bottom>
      <diagonal/>
    </border>
    <border>
      <left/>
      <right/>
      <top style="double">
        <color rgb="FF00B050"/>
      </top>
      <bottom style="double">
        <color rgb="FF00B050"/>
      </bottom>
      <diagonal/>
    </border>
    <border>
      <left/>
      <right style="medium">
        <color indexed="64"/>
      </right>
      <top style="double">
        <color rgb="FF00B050"/>
      </top>
      <bottom style="double">
        <color rgb="FF00B050"/>
      </bottom>
      <diagonal/>
    </border>
  </borders>
  <cellStyleXfs count="4">
    <xf numFmtId="0" fontId="0" fillId="0" borderId="0"/>
    <xf numFmtId="0" fontId="2" fillId="0" borderId="0"/>
    <xf numFmtId="0" fontId="3" fillId="0" borderId="0"/>
    <xf numFmtId="0" fontId="1" fillId="0" borderId="40" applyNumberFormat="0" applyFill="0" applyAlignment="0" applyProtection="0"/>
  </cellStyleXfs>
  <cellXfs count="118">
    <xf numFmtId="0" fontId="0" fillId="0" borderId="0" xfId="0"/>
    <xf numFmtId="0" fontId="4" fillId="0" borderId="0" xfId="0" applyFont="1"/>
    <xf numFmtId="0" fontId="5" fillId="0" borderId="0" xfId="0" applyFont="1"/>
    <xf numFmtId="0" fontId="6" fillId="0" borderId="0" xfId="0" applyFont="1"/>
    <xf numFmtId="0" fontId="7" fillId="0" borderId="9" xfId="0" applyFont="1" applyBorder="1"/>
    <xf numFmtId="0" fontId="5" fillId="0" borderId="9" xfId="0" applyFont="1" applyBorder="1"/>
    <xf numFmtId="0" fontId="5" fillId="0" borderId="10" xfId="0" applyFont="1" applyBorder="1"/>
    <xf numFmtId="0" fontId="5" fillId="0" borderId="0" xfId="0" applyFont="1" applyAlignment="1">
      <alignment vertical="top"/>
    </xf>
    <xf numFmtId="0" fontId="5" fillId="0" borderId="1" xfId="0" applyFont="1" applyBorder="1"/>
    <xf numFmtId="0" fontId="5" fillId="0" borderId="12" xfId="0" applyFont="1" applyBorder="1"/>
    <xf numFmtId="0" fontId="5" fillId="0" borderId="15" xfId="0" applyFont="1" applyBorder="1"/>
    <xf numFmtId="0" fontId="5" fillId="0" borderId="16" xfId="0" applyFont="1" applyBorder="1"/>
    <xf numFmtId="0" fontId="8" fillId="0" borderId="0" xfId="0" applyFont="1"/>
    <xf numFmtId="0" fontId="5" fillId="0" borderId="5" xfId="0" applyFont="1" applyBorder="1"/>
    <xf numFmtId="0" fontId="5" fillId="0" borderId="17" xfId="0" applyFont="1" applyBorder="1"/>
    <xf numFmtId="0" fontId="8" fillId="0" borderId="5" xfId="0" applyFont="1" applyBorder="1"/>
    <xf numFmtId="0" fontId="8" fillId="0" borderId="36" xfId="0" applyFont="1" applyBorder="1" applyAlignment="1">
      <alignment horizontal="left"/>
    </xf>
    <xf numFmtId="0" fontId="8" fillId="0" borderId="37" xfId="0" applyFont="1" applyBorder="1" applyAlignment="1">
      <alignment horizontal="left"/>
    </xf>
    <xf numFmtId="0" fontId="8" fillId="0" borderId="38" xfId="0" applyFont="1" applyBorder="1" applyAlignment="1">
      <alignment horizontal="left"/>
    </xf>
    <xf numFmtId="0" fontId="5" fillId="0" borderId="26" xfId="0" applyFont="1" applyBorder="1"/>
    <xf numFmtId="0" fontId="5" fillId="0" borderId="27" xfId="0" applyFont="1" applyBorder="1"/>
    <xf numFmtId="0" fontId="5" fillId="0" borderId="28" xfId="0" applyFont="1" applyBorder="1"/>
    <xf numFmtId="0" fontId="5" fillId="0" borderId="7" xfId="0" applyFont="1" applyBorder="1" applyAlignment="1">
      <alignment horizontal="right"/>
    </xf>
    <xf numFmtId="0" fontId="5" fillId="0" borderId="25" xfId="0" applyFont="1" applyBorder="1" applyAlignment="1">
      <alignment horizontal="right"/>
    </xf>
    <xf numFmtId="0" fontId="5" fillId="0" borderId="25" xfId="0" applyFont="1" applyBorder="1" applyAlignment="1">
      <alignment horizontal="left"/>
    </xf>
    <xf numFmtId="0" fontId="5" fillId="0" borderId="25" xfId="0" applyFont="1" applyBorder="1"/>
    <xf numFmtId="0" fontId="5" fillId="0" borderId="30" xfId="0" applyFont="1" applyBorder="1"/>
    <xf numFmtId="0" fontId="5" fillId="0" borderId="11" xfId="0" applyFont="1" applyBorder="1" applyAlignment="1">
      <alignment horizontal="right"/>
    </xf>
    <xf numFmtId="0" fontId="5" fillId="0" borderId="0" xfId="0" applyFont="1" applyAlignment="1">
      <alignment horizontal="right"/>
    </xf>
    <xf numFmtId="0" fontId="5" fillId="0" borderId="0" xfId="0" applyFont="1" applyAlignment="1">
      <alignment horizontal="left"/>
    </xf>
    <xf numFmtId="0" fontId="5" fillId="0" borderId="35" xfId="0" applyFont="1" applyBorder="1"/>
    <xf numFmtId="0" fontId="5" fillId="0" borderId="29" xfId="0" applyFont="1" applyBorder="1" applyAlignment="1" applyProtection="1">
      <alignment horizontal="right"/>
      <protection locked="0"/>
    </xf>
    <xf numFmtId="0" fontId="6" fillId="0" borderId="0" xfId="0" applyFont="1" applyAlignment="1">
      <alignment horizontal="left"/>
    </xf>
    <xf numFmtId="0" fontId="5" fillId="0" borderId="29" xfId="0" applyFont="1" applyBorder="1" applyProtection="1">
      <protection locked="0"/>
    </xf>
    <xf numFmtId="0" fontId="6" fillId="0" borderId="34" xfId="0" applyFont="1" applyBorder="1"/>
    <xf numFmtId="0" fontId="6" fillId="0" borderId="35" xfId="0" applyFont="1" applyBorder="1"/>
    <xf numFmtId="0" fontId="5" fillId="0" borderId="11" xfId="0" applyFont="1" applyBorder="1"/>
    <xf numFmtId="0" fontId="5" fillId="0" borderId="13" xfId="0" applyFont="1" applyBorder="1"/>
    <xf numFmtId="0" fontId="5" fillId="0" borderId="3" xfId="0" applyFont="1" applyBorder="1"/>
    <xf numFmtId="0" fontId="5" fillId="0" borderId="31" xfId="0" applyFont="1" applyBorder="1"/>
    <xf numFmtId="0" fontId="5" fillId="0" borderId="0" xfId="0" applyFont="1" applyAlignment="1">
      <alignment horizontal="left" vertical="top" wrapText="1"/>
    </xf>
    <xf numFmtId="0" fontId="9" fillId="0" borderId="0" xfId="0" applyFont="1" applyAlignment="1">
      <alignment horizontal="left" vertical="center" wrapText="1"/>
    </xf>
    <xf numFmtId="0" fontId="5" fillId="0" borderId="27" xfId="0" applyFont="1" applyBorder="1" applyAlignment="1">
      <alignment horizontal="left"/>
    </xf>
    <xf numFmtId="0" fontId="5" fillId="0" borderId="29" xfId="0" applyFont="1" applyBorder="1"/>
    <xf numFmtId="0" fontId="5" fillId="0" borderId="11" xfId="0" applyFont="1" applyBorder="1" applyAlignment="1">
      <alignment horizontal="left"/>
    </xf>
    <xf numFmtId="0" fontId="5" fillId="0" borderId="13" xfId="0" applyFont="1" applyBorder="1" applyAlignment="1">
      <alignment horizontal="left"/>
    </xf>
    <xf numFmtId="0" fontId="5" fillId="0" borderId="7" xfId="0" applyFont="1" applyBorder="1"/>
    <xf numFmtId="0" fontId="5" fillId="0" borderId="39" xfId="0" applyFont="1" applyBorder="1"/>
    <xf numFmtId="0" fontId="5" fillId="0" borderId="34" xfId="0" applyFont="1" applyBorder="1"/>
    <xf numFmtId="0" fontId="5" fillId="0" borderId="33" xfId="0" applyFont="1" applyBorder="1"/>
    <xf numFmtId="0" fontId="9" fillId="0" borderId="0" xfId="0" applyFont="1" applyAlignment="1">
      <alignment horizontal="left" vertical="top" wrapText="1"/>
    </xf>
    <xf numFmtId="0" fontId="5" fillId="0" borderId="1" xfId="0" quotePrefix="1" applyFont="1" applyBorder="1"/>
    <xf numFmtId="0" fontId="6" fillId="0" borderId="35" xfId="0" applyFont="1" applyBorder="1" applyProtection="1">
      <protection locked="0"/>
    </xf>
    <xf numFmtId="0" fontId="6" fillId="0" borderId="7" xfId="0" applyFont="1" applyBorder="1"/>
    <xf numFmtId="0" fontId="5" fillId="0" borderId="0" xfId="0" applyFont="1" applyAlignment="1">
      <alignment horizontal="center"/>
    </xf>
    <xf numFmtId="0" fontId="1" fillId="0" borderId="0" xfId="3" applyBorder="1" applyAlignment="1">
      <alignment horizontal="left" vertical="center"/>
    </xf>
    <xf numFmtId="0" fontId="1" fillId="0" borderId="0" xfId="3" applyBorder="1" applyAlignment="1">
      <alignment horizontal="center" vertical="center"/>
    </xf>
    <xf numFmtId="0" fontId="1" fillId="0" borderId="0" xfId="3" applyFill="1" applyBorder="1" applyAlignment="1">
      <alignment wrapText="1"/>
    </xf>
    <xf numFmtId="0" fontId="1" fillId="2" borderId="25" xfId="3" applyFill="1" applyBorder="1" applyAlignment="1">
      <alignment horizontal="center"/>
    </xf>
    <xf numFmtId="0" fontId="1" fillId="2" borderId="30" xfId="3" applyFill="1" applyBorder="1" applyAlignment="1">
      <alignment horizontal="center"/>
    </xf>
    <xf numFmtId="0" fontId="1" fillId="0" borderId="3" xfId="3" applyBorder="1" applyAlignment="1">
      <alignment horizontal="center" vertical="center"/>
    </xf>
    <xf numFmtId="0" fontId="1" fillId="0" borderId="31" xfId="3" applyFill="1" applyBorder="1" applyAlignment="1">
      <alignment wrapText="1"/>
    </xf>
    <xf numFmtId="0" fontId="1" fillId="0" borderId="42" xfId="3" applyBorder="1" applyAlignment="1">
      <alignment horizontal="center" vertical="center" wrapText="1"/>
    </xf>
    <xf numFmtId="0" fontId="1" fillId="0" borderId="42" xfId="3" applyBorder="1" applyAlignment="1">
      <alignment horizontal="center" vertical="center"/>
    </xf>
    <xf numFmtId="0" fontId="1" fillId="0" borderId="43" xfId="3" applyFill="1" applyBorder="1" applyAlignment="1">
      <alignment wrapText="1"/>
    </xf>
    <xf numFmtId="0" fontId="1" fillId="0" borderId="45" xfId="3" applyBorder="1" applyAlignment="1">
      <alignment horizontal="center" vertical="center"/>
    </xf>
    <xf numFmtId="0" fontId="1" fillId="0" borderId="46" xfId="3" applyFill="1" applyBorder="1" applyAlignment="1">
      <alignment wrapText="1"/>
    </xf>
    <xf numFmtId="0" fontId="1" fillId="0" borderId="48" xfId="3" applyBorder="1" applyAlignment="1">
      <alignment horizontal="center" vertical="center" wrapText="1"/>
    </xf>
    <xf numFmtId="0" fontId="1" fillId="0" borderId="49" xfId="3" applyFill="1" applyBorder="1" applyAlignment="1">
      <alignment wrapText="1"/>
    </xf>
    <xf numFmtId="0" fontId="6" fillId="0" borderId="11" xfId="0" applyFont="1" applyBorder="1"/>
    <xf numFmtId="0" fontId="6" fillId="0" borderId="11" xfId="0" applyFont="1" applyBorder="1" applyAlignment="1">
      <alignment horizontal="left"/>
    </xf>
    <xf numFmtId="0" fontId="4" fillId="0" borderId="0" xfId="0" applyFont="1" applyAlignment="1">
      <alignment horizontal="center"/>
    </xf>
    <xf numFmtId="0" fontId="10" fillId="0" borderId="0" xfId="0" applyFont="1" applyAlignment="1">
      <alignment horizontal="center" vertical="center"/>
    </xf>
    <xf numFmtId="0" fontId="5" fillId="0" borderId="0" xfId="0" applyFont="1" applyAlignment="1">
      <alignment horizontal="left" wrapText="1"/>
    </xf>
    <xf numFmtId="0" fontId="5" fillId="0" borderId="1" xfId="0" applyFont="1" applyBorder="1" applyAlignment="1">
      <alignment horizontal="left"/>
    </xf>
    <xf numFmtId="0" fontId="5" fillId="0" borderId="12" xfId="0" applyFont="1" applyBorder="1" applyAlignment="1">
      <alignment horizontal="left"/>
    </xf>
    <xf numFmtId="0" fontId="5" fillId="0" borderId="15" xfId="0" applyFont="1" applyBorder="1" applyAlignment="1">
      <alignment horizontal="left"/>
    </xf>
    <xf numFmtId="0" fontId="5" fillId="0" borderId="16" xfId="0" applyFont="1" applyBorder="1" applyAlignment="1">
      <alignment horizontal="left"/>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5" fillId="0" borderId="9" xfId="0" applyFont="1" applyBorder="1" applyAlignment="1">
      <alignment horizontal="left"/>
    </xf>
    <xf numFmtId="0" fontId="5" fillId="0" borderId="10" xfId="0" applyFont="1" applyBorder="1" applyAlignment="1">
      <alignment horizontal="left"/>
    </xf>
    <xf numFmtId="0" fontId="6" fillId="2" borderId="30"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6" fillId="2" borderId="31" xfId="0" applyFont="1" applyFill="1" applyBorder="1" applyAlignment="1">
      <alignment horizontal="center" vertical="center" wrapText="1"/>
    </xf>
    <xf numFmtId="0" fontId="1" fillId="2" borderId="7" xfId="3" applyFill="1" applyBorder="1" applyAlignment="1">
      <alignment horizontal="center" vertical="center" wrapText="1"/>
    </xf>
    <xf numFmtId="0" fontId="1" fillId="2" borderId="25" xfId="3" applyFill="1" applyBorder="1" applyAlignment="1">
      <alignment horizontal="center" vertical="center" wrapText="1"/>
    </xf>
    <xf numFmtId="0" fontId="1" fillId="0" borderId="41" xfId="3" applyBorder="1" applyAlignment="1">
      <alignment horizontal="left" vertical="center" wrapText="1"/>
    </xf>
    <xf numFmtId="0" fontId="1" fillId="0" borderId="42" xfId="3" applyBorder="1" applyAlignment="1">
      <alignment horizontal="left" vertical="center" wrapText="1"/>
    </xf>
    <xf numFmtId="0" fontId="1" fillId="0" borderId="47" xfId="3" applyBorder="1" applyAlignment="1">
      <alignment horizontal="left" vertical="center" wrapText="1"/>
    </xf>
    <xf numFmtId="0" fontId="1" fillId="0" borderId="48" xfId="3" applyBorder="1" applyAlignment="1">
      <alignment horizontal="left" vertical="center" wrapText="1"/>
    </xf>
    <xf numFmtId="0" fontId="1" fillId="0" borderId="44" xfId="3" applyBorder="1" applyAlignment="1">
      <alignment horizontal="left" vertical="center"/>
    </xf>
    <xf numFmtId="0" fontId="1" fillId="0" borderId="45" xfId="3" applyBorder="1" applyAlignment="1">
      <alignment horizontal="left" vertical="center"/>
    </xf>
    <xf numFmtId="0" fontId="1" fillId="0" borderId="13" xfId="3" applyBorder="1" applyAlignment="1">
      <alignment horizontal="left" vertical="center"/>
    </xf>
    <xf numFmtId="0" fontId="1" fillId="0" borderId="3" xfId="3" applyBorder="1" applyAlignment="1">
      <alignment horizontal="left" vertical="center"/>
    </xf>
    <xf numFmtId="0" fontId="8" fillId="0" borderId="2" xfId="0" applyFont="1" applyBorder="1" applyAlignment="1">
      <alignment horizontal="left"/>
    </xf>
    <xf numFmtId="0" fontId="8" fillId="0" borderId="6" xfId="0" applyFont="1" applyBorder="1" applyAlignment="1">
      <alignment horizontal="left"/>
    </xf>
    <xf numFmtId="0" fontId="8" fillId="0" borderId="18" xfId="0" applyFont="1" applyBorder="1" applyAlignment="1">
      <alignment horizontal="left"/>
    </xf>
    <xf numFmtId="0" fontId="8" fillId="0" borderId="22" xfId="0" applyFont="1" applyBorder="1" applyAlignment="1">
      <alignment horizontal="left"/>
    </xf>
    <xf numFmtId="0" fontId="8" fillId="0" borderId="23" xfId="0" applyFont="1" applyBorder="1" applyAlignment="1">
      <alignment horizontal="left"/>
    </xf>
    <xf numFmtId="0" fontId="8" fillId="0" borderId="24" xfId="0" applyFont="1" applyBorder="1" applyAlignment="1">
      <alignment horizontal="left"/>
    </xf>
    <xf numFmtId="0" fontId="8" fillId="0" borderId="19" xfId="0" applyFont="1" applyBorder="1" applyAlignment="1">
      <alignment horizontal="left"/>
    </xf>
    <xf numFmtId="0" fontId="8" fillId="0" borderId="20" xfId="0" applyFont="1" applyBorder="1" applyAlignment="1">
      <alignment horizontal="left"/>
    </xf>
    <xf numFmtId="0" fontId="8" fillId="0" borderId="21" xfId="0" applyFont="1" applyBorder="1" applyAlignment="1">
      <alignment horizontal="left"/>
    </xf>
    <xf numFmtId="0" fontId="9" fillId="0" borderId="32" xfId="0" applyFont="1" applyBorder="1" applyAlignment="1">
      <alignment horizontal="left" vertical="center" wrapText="1"/>
    </xf>
    <xf numFmtId="0" fontId="9" fillId="0" borderId="34" xfId="0" applyFont="1" applyBorder="1" applyAlignment="1">
      <alignment horizontal="left" vertical="center" wrapText="1"/>
    </xf>
    <xf numFmtId="0" fontId="9" fillId="0" borderId="33" xfId="0" applyFont="1" applyBorder="1" applyAlignment="1">
      <alignment horizontal="left" vertical="center" wrapText="1"/>
    </xf>
    <xf numFmtId="0" fontId="5" fillId="0" borderId="32" xfId="0" applyFont="1" applyBorder="1" applyAlignment="1">
      <alignment horizontal="left" vertical="top" wrapText="1"/>
    </xf>
    <xf numFmtId="0" fontId="5" fillId="0" borderId="34" xfId="0" applyFont="1" applyBorder="1" applyAlignment="1">
      <alignment horizontal="left" vertical="top" wrapText="1"/>
    </xf>
    <xf numFmtId="0" fontId="5" fillId="0" borderId="33" xfId="0" applyFont="1" applyBorder="1" applyAlignment="1">
      <alignment horizontal="left" vertical="top" wrapText="1"/>
    </xf>
    <xf numFmtId="0" fontId="4" fillId="0" borderId="0" xfId="0" applyFont="1" applyAlignment="1">
      <alignment horizontal="left"/>
    </xf>
    <xf numFmtId="0" fontId="9" fillId="0" borderId="32" xfId="0" applyFont="1" applyBorder="1" applyAlignment="1">
      <alignment horizontal="left" vertical="top" wrapText="1"/>
    </xf>
    <xf numFmtId="0" fontId="9" fillId="0" borderId="34" xfId="0" applyFont="1" applyBorder="1" applyAlignment="1">
      <alignment horizontal="left" vertical="top" wrapText="1"/>
    </xf>
    <xf numFmtId="0" fontId="9" fillId="0" borderId="33" xfId="0" applyFont="1" applyBorder="1" applyAlignment="1">
      <alignment horizontal="left" vertical="top" wrapText="1"/>
    </xf>
  </cellXfs>
  <cellStyles count="4">
    <cellStyle name="Normal" xfId="0" builtinId="0"/>
    <cellStyle name="Normal 2" xfId="1" xr:uid="{00000000-0005-0000-0000-000001000000}"/>
    <cellStyle name="Normal 3" xfId="2" xr:uid="{00000000-0005-0000-0000-000002000000}"/>
    <cellStyle name="Total" xfId="3" builtinId="25"/>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marker>
            <c:symbol val="none"/>
          </c:marker>
          <c:cat>
            <c:strRef>
              <c:f>'DATOS A.'!$G$18:$G$24</c:f>
              <c:strCache>
                <c:ptCount val="7"/>
                <c:pt idx="0">
                  <c:v>A1</c:v>
                </c:pt>
                <c:pt idx="1">
                  <c:v>A2</c:v>
                </c:pt>
                <c:pt idx="2">
                  <c:v>A3</c:v>
                </c:pt>
                <c:pt idx="3">
                  <c:v>A4</c:v>
                </c:pt>
                <c:pt idx="4">
                  <c:v>A5</c:v>
                </c:pt>
                <c:pt idx="5">
                  <c:v>A6</c:v>
                </c:pt>
                <c:pt idx="6">
                  <c:v>A7</c:v>
                </c:pt>
              </c:strCache>
            </c:strRef>
          </c:cat>
          <c:val>
            <c:numRef>
              <c:f>'DATOS A.'!$H$18:$H$24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E4A9-4356-AA0C-9714906BBB23}"/>
            </c:ext>
          </c:extLst>
        </c:ser>
        <c:dLbls>
          <c:showLegendKey val="0"/>
          <c:showVal val="0"/>
          <c:showCatName val="0"/>
          <c:showSerName val="0"/>
          <c:showPercent val="0"/>
          <c:showBubbleSize val="0"/>
        </c:dLbls>
        <c:axId val="71424256"/>
        <c:axId val="71520256"/>
      </c:radarChart>
      <c:catAx>
        <c:axId val="71424256"/>
        <c:scaling>
          <c:orientation val="minMax"/>
        </c:scaling>
        <c:delete val="0"/>
        <c:axPos val="b"/>
        <c:majorGridlines/>
        <c:numFmt formatCode="General" sourceLinked="0"/>
        <c:majorTickMark val="out"/>
        <c:minorTickMark val="none"/>
        <c:tickLblPos val="nextTo"/>
        <c:crossAx val="71520256"/>
        <c:crosses val="autoZero"/>
        <c:auto val="1"/>
        <c:lblAlgn val="ctr"/>
        <c:lblOffset val="100"/>
        <c:noMultiLvlLbl val="0"/>
      </c:catAx>
      <c:valAx>
        <c:axId val="71520256"/>
        <c:scaling>
          <c:orientation val="minMax"/>
        </c:scaling>
        <c:delete val="0"/>
        <c:axPos val="l"/>
        <c:majorGridlines/>
        <c:numFmt formatCode="General" sourceLinked="1"/>
        <c:majorTickMark val="out"/>
        <c:minorTickMark val="none"/>
        <c:tickLblPos val="nextTo"/>
        <c:crossAx val="71424256"/>
        <c:crosses val="autoZero"/>
        <c:crossBetween val="between"/>
      </c:valAx>
    </c:plotArea>
    <c:legend>
      <c:legendPos val="r"/>
      <c:overlay val="0"/>
    </c:legend>
    <c:plotVisOnly val="1"/>
    <c:dispBlanksAs val="gap"/>
    <c:showDLblsOverMax val="0"/>
  </c:chart>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marker>
            <c:symbol val="none"/>
          </c:marker>
          <c:cat>
            <c:strRef>
              <c:f>'DATOS B.'!$G$10:$G$15</c:f>
              <c:strCache>
                <c:ptCount val="6"/>
                <c:pt idx="0">
                  <c:v>B1</c:v>
                </c:pt>
                <c:pt idx="1">
                  <c:v>B2</c:v>
                </c:pt>
                <c:pt idx="2">
                  <c:v>B3</c:v>
                </c:pt>
                <c:pt idx="3">
                  <c:v>B4</c:v>
                </c:pt>
                <c:pt idx="4">
                  <c:v>B5</c:v>
                </c:pt>
                <c:pt idx="5">
                  <c:v>B6</c:v>
                </c:pt>
              </c:strCache>
            </c:strRef>
          </c:cat>
          <c:val>
            <c:numRef>
              <c:f>'DATOS B.'!$H$10:$H$15</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40B3-49F6-A61A-CC6003A09D46}"/>
            </c:ext>
          </c:extLst>
        </c:ser>
        <c:dLbls>
          <c:showLegendKey val="0"/>
          <c:showVal val="0"/>
          <c:showCatName val="0"/>
          <c:showSerName val="0"/>
          <c:showPercent val="0"/>
          <c:showBubbleSize val="0"/>
        </c:dLbls>
        <c:axId val="73199616"/>
        <c:axId val="73201152"/>
      </c:radarChart>
      <c:catAx>
        <c:axId val="73199616"/>
        <c:scaling>
          <c:orientation val="minMax"/>
        </c:scaling>
        <c:delete val="0"/>
        <c:axPos val="b"/>
        <c:majorGridlines/>
        <c:numFmt formatCode="General" sourceLinked="0"/>
        <c:majorTickMark val="out"/>
        <c:minorTickMark val="none"/>
        <c:tickLblPos val="nextTo"/>
        <c:crossAx val="73201152"/>
        <c:crosses val="autoZero"/>
        <c:auto val="1"/>
        <c:lblAlgn val="ctr"/>
        <c:lblOffset val="100"/>
        <c:noMultiLvlLbl val="0"/>
      </c:catAx>
      <c:valAx>
        <c:axId val="73201152"/>
        <c:scaling>
          <c:orientation val="minMax"/>
        </c:scaling>
        <c:delete val="0"/>
        <c:axPos val="l"/>
        <c:majorGridlines/>
        <c:numFmt formatCode="General" sourceLinked="1"/>
        <c:majorTickMark val="cross"/>
        <c:minorTickMark val="none"/>
        <c:tickLblPos val="nextTo"/>
        <c:crossAx val="73199616"/>
        <c:crosses val="autoZero"/>
        <c:crossBetween val="between"/>
      </c:valAx>
    </c:plotArea>
    <c:legend>
      <c:legendPos val="r"/>
      <c:overlay val="0"/>
    </c:legend>
    <c:plotVisOnly val="1"/>
    <c:dispBlanksAs val="gap"/>
    <c:showDLblsOverMax val="0"/>
  </c:chart>
  <c:printSettings>
    <c:headerFooter/>
    <c:pageMargins b="0.75000000000000133" l="0.70000000000000062" r="0.70000000000000062" t="0.75000000000000133"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marker>
            <c:symbol val="none"/>
          </c:marker>
          <c:cat>
            <c:strRef>
              <c:f>'DATOS C.'!$G$7:$G$9</c:f>
              <c:strCache>
                <c:ptCount val="3"/>
                <c:pt idx="0">
                  <c:v>C1</c:v>
                </c:pt>
                <c:pt idx="1">
                  <c:v>C2</c:v>
                </c:pt>
                <c:pt idx="2">
                  <c:v>C3</c:v>
                </c:pt>
              </c:strCache>
            </c:strRef>
          </c:cat>
          <c:val>
            <c:numRef>
              <c:f>'DATOS C.'!$H$7:$H$9</c:f>
              <c:numCache>
                <c:formatCode>General</c:formatCode>
                <c:ptCount val="3"/>
                <c:pt idx="0">
                  <c:v>0</c:v>
                </c:pt>
                <c:pt idx="1">
                  <c:v>0</c:v>
                </c:pt>
                <c:pt idx="2">
                  <c:v>0</c:v>
                </c:pt>
              </c:numCache>
            </c:numRef>
          </c:val>
          <c:extLst>
            <c:ext xmlns:c16="http://schemas.microsoft.com/office/drawing/2014/chart" uri="{C3380CC4-5D6E-409C-BE32-E72D297353CC}">
              <c16:uniqueId val="{00000000-50BD-4B8E-AE6E-FC5BBDDEF550}"/>
            </c:ext>
          </c:extLst>
        </c:ser>
        <c:dLbls>
          <c:showLegendKey val="0"/>
          <c:showVal val="0"/>
          <c:showCatName val="0"/>
          <c:showSerName val="0"/>
          <c:showPercent val="0"/>
          <c:showBubbleSize val="0"/>
        </c:dLbls>
        <c:axId val="72046080"/>
        <c:axId val="72047616"/>
      </c:radarChart>
      <c:catAx>
        <c:axId val="72046080"/>
        <c:scaling>
          <c:orientation val="minMax"/>
        </c:scaling>
        <c:delete val="0"/>
        <c:axPos val="b"/>
        <c:majorGridlines/>
        <c:numFmt formatCode="General" sourceLinked="0"/>
        <c:majorTickMark val="out"/>
        <c:minorTickMark val="none"/>
        <c:tickLblPos val="nextTo"/>
        <c:crossAx val="72047616"/>
        <c:crosses val="autoZero"/>
        <c:auto val="1"/>
        <c:lblAlgn val="ctr"/>
        <c:lblOffset val="100"/>
        <c:noMultiLvlLbl val="0"/>
      </c:catAx>
      <c:valAx>
        <c:axId val="72047616"/>
        <c:scaling>
          <c:orientation val="minMax"/>
        </c:scaling>
        <c:delete val="0"/>
        <c:axPos val="l"/>
        <c:majorGridlines/>
        <c:numFmt formatCode="General" sourceLinked="1"/>
        <c:majorTickMark val="cross"/>
        <c:minorTickMark val="none"/>
        <c:tickLblPos val="nextTo"/>
        <c:crossAx val="72046080"/>
        <c:crosses val="autoZero"/>
        <c:crossBetween val="between"/>
      </c:valAx>
    </c:plotArea>
    <c:legend>
      <c:legendPos val="r"/>
      <c:overlay val="0"/>
    </c:legend>
    <c:plotVisOnly val="1"/>
    <c:dispBlanksAs val="gap"/>
    <c:showDLblsOverMax val="0"/>
  </c:chart>
  <c:printSettings>
    <c:headerFooter/>
    <c:pageMargins b="0.75000000000000133" l="0.70000000000000062" r="0.70000000000000062" t="0.75000000000000133"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marker>
            <c:symbol val="none"/>
          </c:marker>
          <c:cat>
            <c:strRef>
              <c:f>'DATOS D.'!$F$8:$F$17</c:f>
              <c:strCache>
                <c:ptCount val="10"/>
                <c:pt idx="0">
                  <c:v>D1</c:v>
                </c:pt>
                <c:pt idx="1">
                  <c:v>D2</c:v>
                </c:pt>
                <c:pt idx="2">
                  <c:v>D3</c:v>
                </c:pt>
                <c:pt idx="3">
                  <c:v>D4</c:v>
                </c:pt>
                <c:pt idx="4">
                  <c:v>D5</c:v>
                </c:pt>
                <c:pt idx="5">
                  <c:v>D6</c:v>
                </c:pt>
                <c:pt idx="6">
                  <c:v>D7</c:v>
                </c:pt>
                <c:pt idx="7">
                  <c:v>D8</c:v>
                </c:pt>
                <c:pt idx="8">
                  <c:v>D9</c:v>
                </c:pt>
                <c:pt idx="9">
                  <c:v>D10</c:v>
                </c:pt>
              </c:strCache>
            </c:strRef>
          </c:cat>
          <c:val>
            <c:numRef>
              <c:f>'DATOS D.'!$G$8:$G$17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7E14-4BAF-A4F0-90FE7F486644}"/>
            </c:ext>
          </c:extLst>
        </c:ser>
        <c:dLbls>
          <c:showLegendKey val="0"/>
          <c:showVal val="0"/>
          <c:showCatName val="0"/>
          <c:showSerName val="0"/>
          <c:showPercent val="0"/>
          <c:showBubbleSize val="0"/>
        </c:dLbls>
        <c:axId val="73370624"/>
        <c:axId val="73392896"/>
      </c:radarChart>
      <c:catAx>
        <c:axId val="73370624"/>
        <c:scaling>
          <c:orientation val="minMax"/>
        </c:scaling>
        <c:delete val="0"/>
        <c:axPos val="b"/>
        <c:majorGridlines/>
        <c:numFmt formatCode="General" sourceLinked="0"/>
        <c:majorTickMark val="out"/>
        <c:minorTickMark val="none"/>
        <c:tickLblPos val="nextTo"/>
        <c:crossAx val="73392896"/>
        <c:crosses val="autoZero"/>
        <c:auto val="1"/>
        <c:lblAlgn val="ctr"/>
        <c:lblOffset val="100"/>
        <c:noMultiLvlLbl val="0"/>
      </c:catAx>
      <c:valAx>
        <c:axId val="73392896"/>
        <c:scaling>
          <c:orientation val="minMax"/>
        </c:scaling>
        <c:delete val="0"/>
        <c:axPos val="l"/>
        <c:majorGridlines/>
        <c:numFmt formatCode="General" sourceLinked="1"/>
        <c:majorTickMark val="cross"/>
        <c:minorTickMark val="none"/>
        <c:tickLblPos val="nextTo"/>
        <c:crossAx val="73370624"/>
        <c:crosses val="autoZero"/>
        <c:crossBetween val="between"/>
      </c:valAx>
    </c:plotArea>
    <c:legend>
      <c:legendPos val="r"/>
      <c:overlay val="0"/>
    </c:legend>
    <c:plotVisOnly val="1"/>
    <c:dispBlanksAs val="gap"/>
    <c:showDLblsOverMax val="0"/>
  </c:chart>
  <c:printSettings>
    <c:headerFooter/>
    <c:pageMargins b="0.75000000000000133" l="0.70000000000000062" r="0.70000000000000062" t="0.75000000000000133"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marker>
            <c:symbol val="none"/>
          </c:marker>
          <c:cat>
            <c:strRef>
              <c:f>'DATOS E.'!$I$9:$I$14</c:f>
              <c:strCache>
                <c:ptCount val="6"/>
                <c:pt idx="0">
                  <c:v>E1</c:v>
                </c:pt>
                <c:pt idx="1">
                  <c:v>E2</c:v>
                </c:pt>
                <c:pt idx="2">
                  <c:v>E3</c:v>
                </c:pt>
                <c:pt idx="3">
                  <c:v>E4</c:v>
                </c:pt>
                <c:pt idx="4">
                  <c:v>E5</c:v>
                </c:pt>
                <c:pt idx="5">
                  <c:v>E6</c:v>
                </c:pt>
              </c:strCache>
            </c:strRef>
          </c:cat>
          <c:val>
            <c:numRef>
              <c:f>'DATOS E.'!$J$9:$J$14</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4AC1-476F-9709-B27377A3EC8A}"/>
            </c:ext>
          </c:extLst>
        </c:ser>
        <c:dLbls>
          <c:showLegendKey val="0"/>
          <c:showVal val="0"/>
          <c:showCatName val="0"/>
          <c:showSerName val="0"/>
          <c:showPercent val="0"/>
          <c:showBubbleSize val="0"/>
        </c:dLbls>
        <c:axId val="79848192"/>
        <c:axId val="79849728"/>
      </c:radarChart>
      <c:catAx>
        <c:axId val="79848192"/>
        <c:scaling>
          <c:orientation val="minMax"/>
        </c:scaling>
        <c:delete val="0"/>
        <c:axPos val="b"/>
        <c:majorGridlines/>
        <c:numFmt formatCode="General" sourceLinked="0"/>
        <c:majorTickMark val="out"/>
        <c:minorTickMark val="none"/>
        <c:tickLblPos val="nextTo"/>
        <c:crossAx val="79849728"/>
        <c:crosses val="autoZero"/>
        <c:auto val="1"/>
        <c:lblAlgn val="ctr"/>
        <c:lblOffset val="100"/>
        <c:noMultiLvlLbl val="0"/>
      </c:catAx>
      <c:valAx>
        <c:axId val="79849728"/>
        <c:scaling>
          <c:orientation val="minMax"/>
        </c:scaling>
        <c:delete val="0"/>
        <c:axPos val="l"/>
        <c:majorGridlines/>
        <c:numFmt formatCode="General" sourceLinked="1"/>
        <c:majorTickMark val="cross"/>
        <c:minorTickMark val="none"/>
        <c:tickLblPos val="nextTo"/>
        <c:crossAx val="79848192"/>
        <c:crosses val="autoZero"/>
        <c:crossBetween val="between"/>
      </c:valAx>
    </c:plotArea>
    <c:legend>
      <c:legendPos val="r"/>
      <c:overlay val="0"/>
    </c:legend>
    <c:plotVisOnly val="1"/>
    <c:dispBlanksAs val="gap"/>
    <c:showDLblsOverMax val="0"/>
  </c:chart>
  <c:printSettings>
    <c:headerFooter/>
    <c:pageMargins b="0.75000000000000133" l="0.70000000000000062" r="0.70000000000000062" t="0.75000000000000133"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marker>
            <c:symbol val="none"/>
          </c:marker>
          <c:cat>
            <c:strRef>
              <c:f>'DATOS F.'!$G$7:$G$9</c:f>
              <c:strCache>
                <c:ptCount val="3"/>
                <c:pt idx="0">
                  <c:v>F1</c:v>
                </c:pt>
                <c:pt idx="1">
                  <c:v>F2</c:v>
                </c:pt>
                <c:pt idx="2">
                  <c:v>F3</c:v>
                </c:pt>
              </c:strCache>
            </c:strRef>
          </c:cat>
          <c:val>
            <c:numRef>
              <c:f>'DATOS F.'!$H$7:$H$9</c:f>
              <c:numCache>
                <c:formatCode>General</c:formatCode>
                <c:ptCount val="3"/>
                <c:pt idx="0">
                  <c:v>0</c:v>
                </c:pt>
                <c:pt idx="1">
                  <c:v>0</c:v>
                </c:pt>
                <c:pt idx="2">
                  <c:v>0</c:v>
                </c:pt>
              </c:numCache>
            </c:numRef>
          </c:val>
          <c:extLst>
            <c:ext xmlns:c16="http://schemas.microsoft.com/office/drawing/2014/chart" uri="{C3380CC4-5D6E-409C-BE32-E72D297353CC}">
              <c16:uniqueId val="{00000000-7B7D-4E60-BDA5-B98C96610327}"/>
            </c:ext>
          </c:extLst>
        </c:ser>
        <c:dLbls>
          <c:showLegendKey val="0"/>
          <c:showVal val="0"/>
          <c:showCatName val="0"/>
          <c:showSerName val="0"/>
          <c:showPercent val="0"/>
          <c:showBubbleSize val="0"/>
        </c:dLbls>
        <c:axId val="79993088"/>
        <c:axId val="80015360"/>
      </c:radarChart>
      <c:catAx>
        <c:axId val="79993088"/>
        <c:scaling>
          <c:orientation val="minMax"/>
        </c:scaling>
        <c:delete val="0"/>
        <c:axPos val="b"/>
        <c:majorGridlines/>
        <c:numFmt formatCode="General" sourceLinked="0"/>
        <c:majorTickMark val="out"/>
        <c:minorTickMark val="none"/>
        <c:tickLblPos val="nextTo"/>
        <c:crossAx val="80015360"/>
        <c:crosses val="autoZero"/>
        <c:auto val="1"/>
        <c:lblAlgn val="ctr"/>
        <c:lblOffset val="100"/>
        <c:noMultiLvlLbl val="0"/>
      </c:catAx>
      <c:valAx>
        <c:axId val="80015360"/>
        <c:scaling>
          <c:orientation val="minMax"/>
        </c:scaling>
        <c:delete val="0"/>
        <c:axPos val="l"/>
        <c:majorGridlines/>
        <c:numFmt formatCode="General" sourceLinked="1"/>
        <c:majorTickMark val="cross"/>
        <c:minorTickMark val="none"/>
        <c:tickLblPos val="nextTo"/>
        <c:crossAx val="79993088"/>
        <c:crosses val="autoZero"/>
        <c:crossBetween val="between"/>
      </c:valAx>
    </c:plotArea>
    <c:legend>
      <c:legendPos val="r"/>
      <c:overlay val="0"/>
    </c:legend>
    <c:plotVisOnly val="1"/>
    <c:dispBlanksAs val="gap"/>
    <c:showDLblsOverMax val="0"/>
  </c:chart>
  <c:printSettings>
    <c:headerFooter/>
    <c:pageMargins b="0.75000000000000122" l="0.70000000000000062" r="0.70000000000000062" t="0.75000000000000122"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marker>
            <c:symbol val="none"/>
          </c:marker>
          <c:cat>
            <c:strRef>
              <c:f>'PROMEDIO PORCENTUAL DIAGNOSTICO'!$C$3:$C$8</c:f>
              <c:strCache>
                <c:ptCount val="6"/>
                <c:pt idx="0">
                  <c:v>Diagnóstico económico</c:v>
                </c:pt>
                <c:pt idx="1">
                  <c:v>Diagnóstico ambiental</c:v>
                </c:pt>
                <c:pt idx="2">
                  <c:v>Diagnóstico energía</c:v>
                </c:pt>
                <c:pt idx="3">
                  <c:v>Diagnóstico seguridad y salud en el trabajo</c:v>
                </c:pt>
                <c:pt idx="4">
                  <c:v>Diagnóstico aspectos sociales</c:v>
                </c:pt>
                <c:pt idx="5">
                  <c:v>Diagnóstico almacén</c:v>
                </c:pt>
              </c:strCache>
            </c:strRef>
          </c:cat>
          <c:val>
            <c:numRef>
              <c:f>'PROMEDIO PORCENTUAL DIAGNOSTICO'!$D$3:$D$8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172E-4598-B1D8-9F3B1B82E2C0}"/>
            </c:ext>
          </c:extLst>
        </c:ser>
        <c:dLbls>
          <c:showLegendKey val="0"/>
          <c:showVal val="0"/>
          <c:showCatName val="0"/>
          <c:showSerName val="0"/>
          <c:showPercent val="0"/>
          <c:showBubbleSize val="0"/>
        </c:dLbls>
        <c:axId val="79945728"/>
        <c:axId val="79947264"/>
      </c:radarChart>
      <c:catAx>
        <c:axId val="79945728"/>
        <c:scaling>
          <c:orientation val="minMax"/>
        </c:scaling>
        <c:delete val="0"/>
        <c:axPos val="b"/>
        <c:majorGridlines/>
        <c:numFmt formatCode="General" sourceLinked="0"/>
        <c:majorTickMark val="out"/>
        <c:minorTickMark val="none"/>
        <c:tickLblPos val="nextTo"/>
        <c:crossAx val="79947264"/>
        <c:crosses val="autoZero"/>
        <c:auto val="1"/>
        <c:lblAlgn val="ctr"/>
        <c:lblOffset val="100"/>
        <c:noMultiLvlLbl val="0"/>
      </c:catAx>
      <c:valAx>
        <c:axId val="79947264"/>
        <c:scaling>
          <c:orientation val="minMax"/>
        </c:scaling>
        <c:delete val="0"/>
        <c:axPos val="l"/>
        <c:majorGridlines/>
        <c:numFmt formatCode="General" sourceLinked="1"/>
        <c:majorTickMark val="cross"/>
        <c:minorTickMark val="none"/>
        <c:tickLblPos val="nextTo"/>
        <c:crossAx val="79945728"/>
        <c:crosses val="autoZero"/>
        <c:crossBetween val="between"/>
      </c:valAx>
    </c:plotArea>
    <c:legend>
      <c:legendPos val="r"/>
      <c:overlay val="0"/>
    </c:legend>
    <c:plotVisOnly val="1"/>
    <c:dispBlanksAs val="gap"/>
    <c:showDLblsOverMax val="0"/>
  </c:chart>
  <c:printSettings>
    <c:headerFooter/>
    <c:pageMargins b="0.75000000000000122" l="0.70000000000000062" r="0.70000000000000062" t="0.75000000000000122"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400050</xdr:colOff>
      <xdr:row>27</xdr:row>
      <xdr:rowOff>9525</xdr:rowOff>
    </xdr:from>
    <xdr:to>
      <xdr:col>11</xdr:col>
      <xdr:colOff>314325</xdr:colOff>
      <xdr:row>41</xdr:row>
      <xdr:rowOff>95250</xdr:rowOff>
    </xdr:to>
    <xdr:graphicFrame macro="">
      <xdr:nvGraphicFramePr>
        <xdr:cNvPr id="3" name="2 Gráfico">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371475</xdr:colOff>
      <xdr:row>19</xdr:row>
      <xdr:rowOff>0</xdr:rowOff>
    </xdr:from>
    <xdr:to>
      <xdr:col>11</xdr:col>
      <xdr:colOff>371475</xdr:colOff>
      <xdr:row>33</xdr:row>
      <xdr:rowOff>76200</xdr:rowOff>
    </xdr:to>
    <xdr:graphicFrame macro="">
      <xdr:nvGraphicFramePr>
        <xdr:cNvPr id="5" name="4 Gráfico">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542925</xdr:colOff>
      <xdr:row>12</xdr:row>
      <xdr:rowOff>85725</xdr:rowOff>
    </xdr:from>
    <xdr:to>
      <xdr:col>11</xdr:col>
      <xdr:colOff>542925</xdr:colOff>
      <xdr:row>26</xdr:row>
      <xdr:rowOff>152400</xdr:rowOff>
    </xdr:to>
    <xdr:graphicFrame macro="">
      <xdr:nvGraphicFramePr>
        <xdr:cNvPr id="2" name="1 Gráfico">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209550</xdr:colOff>
      <xdr:row>5</xdr:row>
      <xdr:rowOff>57150</xdr:rowOff>
    </xdr:from>
    <xdr:to>
      <xdr:col>14</xdr:col>
      <xdr:colOff>209550</xdr:colOff>
      <xdr:row>19</xdr:row>
      <xdr:rowOff>114300</xdr:rowOff>
    </xdr:to>
    <xdr:graphicFrame macro="">
      <xdr:nvGraphicFramePr>
        <xdr:cNvPr id="2" name="1 Gráfico">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647700</xdr:colOff>
      <xdr:row>18</xdr:row>
      <xdr:rowOff>47625</xdr:rowOff>
    </xdr:from>
    <xdr:to>
      <xdr:col>13</xdr:col>
      <xdr:colOff>647700</xdr:colOff>
      <xdr:row>32</xdr:row>
      <xdr:rowOff>123825</xdr:rowOff>
    </xdr:to>
    <xdr:graphicFrame macro="">
      <xdr:nvGraphicFramePr>
        <xdr:cNvPr id="2" name="1 Gráfico">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85725</xdr:colOff>
      <xdr:row>12</xdr:row>
      <xdr:rowOff>104775</xdr:rowOff>
    </xdr:from>
    <xdr:to>
      <xdr:col>12</xdr:col>
      <xdr:colOff>85725</xdr:colOff>
      <xdr:row>26</xdr:row>
      <xdr:rowOff>171450</xdr:rowOff>
    </xdr:to>
    <xdr:graphicFrame macro="">
      <xdr:nvGraphicFramePr>
        <xdr:cNvPr id="2" name="1 Gráfico">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752475</xdr:colOff>
      <xdr:row>11</xdr:row>
      <xdr:rowOff>66675</xdr:rowOff>
    </xdr:from>
    <xdr:to>
      <xdr:col>7</xdr:col>
      <xdr:colOff>742950</xdr:colOff>
      <xdr:row>32</xdr:row>
      <xdr:rowOff>9525</xdr:rowOff>
    </xdr:to>
    <xdr:graphicFrame macro="">
      <xdr:nvGraphicFramePr>
        <xdr:cNvPr id="2" name="1 Gráfico">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66"/>
  <sheetViews>
    <sheetView showGridLines="0" tabSelected="1" workbookViewId="0">
      <selection activeCell="D14" sqref="D14"/>
    </sheetView>
  </sheetViews>
  <sheetFormatPr baseColWidth="10" defaultColWidth="11.44140625" defaultRowHeight="15" x14ac:dyDescent="0.25"/>
  <cols>
    <col min="1" max="1" width="11.44140625" style="2"/>
    <col min="2" max="2" width="22.33203125" style="2" customWidth="1"/>
    <col min="3" max="5" width="11.44140625" style="2"/>
    <col min="6" max="6" width="56.88671875" style="2" customWidth="1"/>
    <col min="7" max="16384" width="11.44140625" style="2"/>
  </cols>
  <sheetData>
    <row r="1" spans="1:6" ht="15.75" customHeight="1" x14ac:dyDescent="0.25">
      <c r="A1" s="72" t="s">
        <v>573</v>
      </c>
      <c r="B1" s="72"/>
      <c r="C1" s="72"/>
      <c r="D1" s="72"/>
      <c r="E1" s="72"/>
      <c r="F1" s="72"/>
    </row>
    <row r="2" spans="1:6" x14ac:dyDescent="0.25">
      <c r="A2" s="72"/>
      <c r="B2" s="72"/>
      <c r="C2" s="72"/>
      <c r="D2" s="72"/>
      <c r="E2" s="72"/>
      <c r="F2" s="72"/>
    </row>
    <row r="3" spans="1:6" x14ac:dyDescent="0.25">
      <c r="A3" s="72"/>
      <c r="B3" s="72"/>
      <c r="C3" s="72"/>
      <c r="D3" s="72"/>
      <c r="E3" s="72"/>
      <c r="F3" s="72"/>
    </row>
    <row r="4" spans="1:6" ht="15.75" customHeight="1" x14ac:dyDescent="0.25">
      <c r="A4" s="72"/>
      <c r="B4" s="72"/>
      <c r="C4" s="72"/>
      <c r="D4" s="72"/>
      <c r="E4" s="72"/>
      <c r="F4" s="72"/>
    </row>
    <row r="6" spans="1:6" ht="49.2" customHeight="1" x14ac:dyDescent="0.25">
      <c r="A6" s="73" t="s">
        <v>586</v>
      </c>
      <c r="B6" s="73"/>
      <c r="C6" s="73"/>
      <c r="D6" s="73"/>
      <c r="E6" s="73"/>
      <c r="F6" s="73"/>
    </row>
    <row r="8" spans="1:6" x14ac:dyDescent="0.25">
      <c r="A8" s="2" t="s">
        <v>533</v>
      </c>
    </row>
    <row r="10" spans="1:6" ht="15.6" thickBot="1" x14ac:dyDescent="0.3"/>
    <row r="11" spans="1:6" ht="16.2" thickBot="1" x14ac:dyDescent="0.35">
      <c r="B11" s="89" t="s">
        <v>414</v>
      </c>
      <c r="C11" s="90"/>
      <c r="D11" s="58" t="s">
        <v>418</v>
      </c>
      <c r="E11" s="58" t="s">
        <v>419</v>
      </c>
      <c r="F11" s="59" t="s">
        <v>420</v>
      </c>
    </row>
    <row r="12" spans="1:6" ht="44.4" thickTop="1" thickBot="1" x14ac:dyDescent="0.35">
      <c r="B12" s="91" t="s">
        <v>415</v>
      </c>
      <c r="C12" s="92"/>
      <c r="D12" s="62" t="s">
        <v>0</v>
      </c>
      <c r="E12" s="63">
        <v>3</v>
      </c>
      <c r="F12" s="64" t="s">
        <v>423</v>
      </c>
    </row>
    <row r="13" spans="1:6" ht="30" thickTop="1" thickBot="1" x14ac:dyDescent="0.35">
      <c r="B13" s="93" t="s">
        <v>1</v>
      </c>
      <c r="C13" s="94"/>
      <c r="D13" s="67" t="s">
        <v>2</v>
      </c>
      <c r="E13" s="67">
        <v>2</v>
      </c>
      <c r="F13" s="68" t="s">
        <v>572</v>
      </c>
    </row>
    <row r="14" spans="1:6" ht="30" thickTop="1" thickBot="1" x14ac:dyDescent="0.35">
      <c r="B14" s="95" t="s">
        <v>416</v>
      </c>
      <c r="C14" s="96"/>
      <c r="D14" s="65" t="s">
        <v>3</v>
      </c>
      <c r="E14" s="65">
        <v>1</v>
      </c>
      <c r="F14" s="66" t="s">
        <v>422</v>
      </c>
    </row>
    <row r="15" spans="1:6" ht="16.8" thickTop="1" thickBot="1" x14ac:dyDescent="0.35">
      <c r="B15" s="97" t="s">
        <v>417</v>
      </c>
      <c r="C15" s="98"/>
      <c r="D15" s="60" t="s">
        <v>4</v>
      </c>
      <c r="E15" s="60">
        <v>0</v>
      </c>
      <c r="F15" s="61" t="s">
        <v>421</v>
      </c>
    </row>
    <row r="16" spans="1:6" ht="15.6" x14ac:dyDescent="0.3">
      <c r="B16" s="55"/>
      <c r="C16" s="55"/>
      <c r="D16" s="56"/>
      <c r="E16" s="56"/>
      <c r="F16" s="57"/>
    </row>
    <row r="18" spans="1:11" ht="17.399999999999999" x14ac:dyDescent="0.3">
      <c r="A18" s="71" t="s">
        <v>532</v>
      </c>
      <c r="B18" s="71"/>
      <c r="C18" s="71"/>
      <c r="D18" s="71"/>
      <c r="E18" s="71"/>
      <c r="F18" s="71"/>
    </row>
    <row r="20" spans="1:11" ht="15" customHeight="1" x14ac:dyDescent="0.3">
      <c r="A20" s="3" t="s">
        <v>424</v>
      </c>
    </row>
    <row r="21" spans="1:11" ht="15" customHeight="1" x14ac:dyDescent="0.25"/>
    <row r="22" spans="1:11" x14ac:dyDescent="0.25">
      <c r="A22" s="2" t="s">
        <v>425</v>
      </c>
    </row>
    <row r="23" spans="1:11" ht="15.6" thickBot="1" x14ac:dyDescent="0.3"/>
    <row r="24" spans="1:11" ht="15" customHeight="1" x14ac:dyDescent="0.3">
      <c r="A24" s="78" t="s">
        <v>426</v>
      </c>
      <c r="B24" s="79"/>
      <c r="C24" s="4" t="s">
        <v>534</v>
      </c>
      <c r="D24" s="5"/>
      <c r="E24" s="5"/>
      <c r="F24" s="6"/>
      <c r="G24" s="7"/>
      <c r="H24" s="7"/>
      <c r="I24" s="7"/>
      <c r="J24" s="7"/>
      <c r="K24" s="7"/>
    </row>
    <row r="25" spans="1:11" ht="15.6" x14ac:dyDescent="0.3">
      <c r="A25" s="80"/>
      <c r="B25" s="81"/>
      <c r="C25" s="8" t="s">
        <v>535</v>
      </c>
      <c r="D25" s="8"/>
      <c r="E25" s="8"/>
      <c r="F25" s="9"/>
      <c r="G25" s="7"/>
      <c r="H25" s="7"/>
      <c r="I25" s="7"/>
      <c r="J25" s="7"/>
      <c r="K25" s="7"/>
    </row>
    <row r="26" spans="1:11" ht="15.6" x14ac:dyDescent="0.3">
      <c r="A26" s="80"/>
      <c r="B26" s="81"/>
      <c r="C26" s="8" t="s">
        <v>536</v>
      </c>
      <c r="D26" s="8"/>
      <c r="E26" s="8"/>
      <c r="F26" s="9"/>
      <c r="G26" s="7"/>
      <c r="H26" s="7"/>
      <c r="I26" s="7"/>
      <c r="J26" s="7"/>
      <c r="K26" s="7"/>
    </row>
    <row r="27" spans="1:11" ht="15.6" x14ac:dyDescent="0.3">
      <c r="A27" s="80"/>
      <c r="B27" s="81"/>
      <c r="C27" s="8" t="s">
        <v>537</v>
      </c>
      <c r="D27" s="8"/>
      <c r="E27" s="8"/>
      <c r="F27" s="9"/>
      <c r="G27" s="7"/>
      <c r="H27" s="7"/>
      <c r="I27" s="7"/>
      <c r="J27" s="7"/>
      <c r="K27" s="7"/>
    </row>
    <row r="28" spans="1:11" ht="15.6" x14ac:dyDescent="0.3">
      <c r="A28" s="80"/>
      <c r="B28" s="81"/>
      <c r="C28" s="8" t="s">
        <v>538</v>
      </c>
      <c r="D28" s="8"/>
      <c r="E28" s="8"/>
      <c r="F28" s="9"/>
      <c r="G28" s="7"/>
      <c r="H28" s="7"/>
      <c r="I28" s="7"/>
      <c r="J28" s="7"/>
      <c r="K28" s="7"/>
    </row>
    <row r="29" spans="1:11" ht="15.6" x14ac:dyDescent="0.3">
      <c r="A29" s="80"/>
      <c r="B29" s="81"/>
      <c r="C29" s="8" t="s">
        <v>539</v>
      </c>
      <c r="D29" s="8"/>
      <c r="E29" s="8"/>
      <c r="F29" s="9"/>
    </row>
    <row r="30" spans="1:11" ht="16.2" thickBot="1" x14ac:dyDescent="0.35">
      <c r="A30" s="82"/>
      <c r="B30" s="83"/>
      <c r="C30" s="10" t="s">
        <v>540</v>
      </c>
      <c r="D30" s="10"/>
      <c r="E30" s="10"/>
      <c r="F30" s="11"/>
    </row>
    <row r="31" spans="1:11" ht="8.25" customHeight="1" thickBot="1" x14ac:dyDescent="0.3"/>
    <row r="32" spans="1:11" ht="15.6" customHeight="1" x14ac:dyDescent="0.3">
      <c r="A32" s="78" t="s">
        <v>585</v>
      </c>
      <c r="B32" s="79"/>
      <c r="C32" s="5" t="s">
        <v>541</v>
      </c>
      <c r="D32" s="5"/>
      <c r="E32" s="5"/>
      <c r="F32" s="6"/>
      <c r="G32" s="7"/>
      <c r="H32" s="7"/>
      <c r="I32" s="7"/>
      <c r="J32" s="7"/>
      <c r="K32" s="7"/>
    </row>
    <row r="33" spans="1:11" ht="15.6" x14ac:dyDescent="0.3">
      <c r="A33" s="80"/>
      <c r="B33" s="81"/>
      <c r="C33" s="8" t="s">
        <v>542</v>
      </c>
      <c r="D33" s="8"/>
      <c r="E33" s="8"/>
      <c r="F33" s="9"/>
      <c r="G33" s="7"/>
      <c r="H33" s="7"/>
      <c r="I33" s="7"/>
      <c r="J33" s="7"/>
      <c r="K33" s="7"/>
    </row>
    <row r="34" spans="1:11" ht="15.6" x14ac:dyDescent="0.3">
      <c r="A34" s="80"/>
      <c r="B34" s="81"/>
      <c r="C34" s="8" t="s">
        <v>543</v>
      </c>
      <c r="D34" s="8"/>
      <c r="E34" s="8"/>
      <c r="F34" s="9"/>
      <c r="G34" s="7"/>
      <c r="H34" s="7"/>
      <c r="I34" s="7"/>
      <c r="J34" s="7"/>
      <c r="K34" s="7"/>
    </row>
    <row r="35" spans="1:11" ht="15.6" x14ac:dyDescent="0.3">
      <c r="A35" s="80"/>
      <c r="B35" s="81"/>
      <c r="C35" s="12" t="s">
        <v>544</v>
      </c>
      <c r="D35" s="13"/>
      <c r="E35" s="13"/>
      <c r="F35" s="14"/>
    </row>
    <row r="36" spans="1:11" ht="15.6" x14ac:dyDescent="0.3">
      <c r="A36" s="80"/>
      <c r="B36" s="81"/>
      <c r="C36" s="15" t="s">
        <v>545</v>
      </c>
      <c r="D36" s="13"/>
      <c r="E36" s="13"/>
      <c r="F36" s="14"/>
    </row>
    <row r="37" spans="1:11" ht="15.6" x14ac:dyDescent="0.3">
      <c r="A37" s="80"/>
      <c r="B37" s="81"/>
      <c r="C37" s="99" t="s">
        <v>546</v>
      </c>
      <c r="D37" s="100"/>
      <c r="E37" s="100"/>
      <c r="F37" s="101"/>
    </row>
    <row r="38" spans="1:11" ht="15.6" x14ac:dyDescent="0.3">
      <c r="A38" s="80"/>
      <c r="B38" s="81"/>
      <c r="C38" s="99" t="s">
        <v>547</v>
      </c>
      <c r="D38" s="100"/>
      <c r="E38" s="100"/>
      <c r="F38" s="101"/>
    </row>
    <row r="39" spans="1:11" ht="15.6" x14ac:dyDescent="0.3">
      <c r="A39" s="80"/>
      <c r="B39" s="81"/>
      <c r="C39" s="16" t="s">
        <v>548</v>
      </c>
      <c r="D39" s="17"/>
      <c r="E39" s="17"/>
      <c r="F39" s="18"/>
    </row>
    <row r="40" spans="1:11" ht="16.2" thickBot="1" x14ac:dyDescent="0.35">
      <c r="A40" s="82"/>
      <c r="B40" s="83"/>
      <c r="C40" s="102" t="s">
        <v>549</v>
      </c>
      <c r="D40" s="103"/>
      <c r="E40" s="103"/>
      <c r="F40" s="104"/>
    </row>
    <row r="41" spans="1:11" ht="8.25" customHeight="1" thickBot="1" x14ac:dyDescent="0.3">
      <c r="C41" s="12"/>
      <c r="D41" s="12"/>
      <c r="E41" s="12"/>
      <c r="F41" s="12"/>
    </row>
    <row r="42" spans="1:11" ht="15.6" x14ac:dyDescent="0.3">
      <c r="A42" s="78" t="s">
        <v>427</v>
      </c>
      <c r="B42" s="79"/>
      <c r="C42" s="105" t="s">
        <v>550</v>
      </c>
      <c r="D42" s="106"/>
      <c r="E42" s="106"/>
      <c r="F42" s="107"/>
    </row>
    <row r="43" spans="1:11" ht="15.6" x14ac:dyDescent="0.3">
      <c r="A43" s="80"/>
      <c r="B43" s="81"/>
      <c r="C43" s="99" t="s">
        <v>551</v>
      </c>
      <c r="D43" s="100"/>
      <c r="E43" s="100"/>
      <c r="F43" s="101"/>
    </row>
    <row r="44" spans="1:11" ht="16.2" thickBot="1" x14ac:dyDescent="0.35">
      <c r="A44" s="82"/>
      <c r="B44" s="83"/>
      <c r="C44" s="102" t="s">
        <v>552</v>
      </c>
      <c r="D44" s="103"/>
      <c r="E44" s="103"/>
      <c r="F44" s="104"/>
    </row>
    <row r="45" spans="1:11" ht="8.25" customHeight="1" thickBot="1" x14ac:dyDescent="0.3"/>
    <row r="46" spans="1:11" ht="15.6" x14ac:dyDescent="0.3">
      <c r="A46" s="78" t="s">
        <v>574</v>
      </c>
      <c r="B46" s="79"/>
      <c r="C46" s="84" t="s">
        <v>553</v>
      </c>
      <c r="D46" s="84"/>
      <c r="E46" s="84"/>
      <c r="F46" s="85"/>
    </row>
    <row r="47" spans="1:11" ht="15.6" x14ac:dyDescent="0.3">
      <c r="A47" s="80"/>
      <c r="B47" s="81"/>
      <c r="C47" s="74" t="s">
        <v>554</v>
      </c>
      <c r="D47" s="74"/>
      <c r="E47" s="74"/>
      <c r="F47" s="75"/>
    </row>
    <row r="48" spans="1:11" ht="15.6" x14ac:dyDescent="0.3">
      <c r="A48" s="80"/>
      <c r="B48" s="81"/>
      <c r="C48" s="74" t="s">
        <v>555</v>
      </c>
      <c r="D48" s="74"/>
      <c r="E48" s="74"/>
      <c r="F48" s="75"/>
    </row>
    <row r="49" spans="1:6" ht="15.6" x14ac:dyDescent="0.3">
      <c r="A49" s="80"/>
      <c r="B49" s="81"/>
      <c r="C49" s="74" t="s">
        <v>556</v>
      </c>
      <c r="D49" s="74"/>
      <c r="E49" s="74"/>
      <c r="F49" s="75"/>
    </row>
    <row r="50" spans="1:6" ht="15.6" x14ac:dyDescent="0.3">
      <c r="A50" s="80"/>
      <c r="B50" s="81"/>
      <c r="C50" s="74" t="s">
        <v>557</v>
      </c>
      <c r="D50" s="74"/>
      <c r="E50" s="74"/>
      <c r="F50" s="75"/>
    </row>
    <row r="51" spans="1:6" ht="15.6" x14ac:dyDescent="0.3">
      <c r="A51" s="80"/>
      <c r="B51" s="81"/>
      <c r="C51" s="74" t="s">
        <v>558</v>
      </c>
      <c r="D51" s="74"/>
      <c r="E51" s="74"/>
      <c r="F51" s="75"/>
    </row>
    <row r="52" spans="1:6" ht="15.6" x14ac:dyDescent="0.3">
      <c r="A52" s="80"/>
      <c r="B52" s="81"/>
      <c r="C52" s="74" t="s">
        <v>559</v>
      </c>
      <c r="D52" s="74"/>
      <c r="E52" s="74"/>
      <c r="F52" s="75"/>
    </row>
    <row r="53" spans="1:6" ht="15.6" x14ac:dyDescent="0.3">
      <c r="A53" s="80"/>
      <c r="B53" s="81"/>
      <c r="C53" s="74" t="s">
        <v>560</v>
      </c>
      <c r="D53" s="74"/>
      <c r="E53" s="74"/>
      <c r="F53" s="75"/>
    </row>
    <row r="54" spans="1:6" ht="15.6" x14ac:dyDescent="0.3">
      <c r="A54" s="80"/>
      <c r="B54" s="81"/>
      <c r="C54" s="74" t="s">
        <v>561</v>
      </c>
      <c r="D54" s="74"/>
      <c r="E54" s="74"/>
      <c r="F54" s="75"/>
    </row>
    <row r="55" spans="1:6" ht="16.2" thickBot="1" x14ac:dyDescent="0.35">
      <c r="A55" s="82"/>
      <c r="B55" s="83"/>
      <c r="C55" s="76" t="s">
        <v>562</v>
      </c>
      <c r="D55" s="76"/>
      <c r="E55" s="76"/>
      <c r="F55" s="77"/>
    </row>
    <row r="56" spans="1:6" ht="8.25" customHeight="1" thickBot="1" x14ac:dyDescent="0.3"/>
    <row r="57" spans="1:6" ht="15.6" x14ac:dyDescent="0.3">
      <c r="A57" s="78" t="s">
        <v>428</v>
      </c>
      <c r="B57" s="79"/>
      <c r="C57" s="84" t="s">
        <v>563</v>
      </c>
      <c r="D57" s="84"/>
      <c r="E57" s="84"/>
      <c r="F57" s="85"/>
    </row>
    <row r="58" spans="1:6" ht="15.6" x14ac:dyDescent="0.3">
      <c r="A58" s="80"/>
      <c r="B58" s="81"/>
      <c r="C58" s="74" t="s">
        <v>564</v>
      </c>
      <c r="D58" s="74"/>
      <c r="E58" s="74"/>
      <c r="F58" s="75"/>
    </row>
    <row r="59" spans="1:6" ht="15.6" x14ac:dyDescent="0.3">
      <c r="A59" s="80"/>
      <c r="B59" s="81"/>
      <c r="C59" s="74" t="s">
        <v>565</v>
      </c>
      <c r="D59" s="74"/>
      <c r="E59" s="74"/>
      <c r="F59" s="75"/>
    </row>
    <row r="60" spans="1:6" ht="15.6" x14ac:dyDescent="0.3">
      <c r="A60" s="80"/>
      <c r="B60" s="81"/>
      <c r="C60" s="74" t="s">
        <v>566</v>
      </c>
      <c r="D60" s="74"/>
      <c r="E60" s="74"/>
      <c r="F60" s="75"/>
    </row>
    <row r="61" spans="1:6" ht="15.6" x14ac:dyDescent="0.3">
      <c r="A61" s="80"/>
      <c r="B61" s="81"/>
      <c r="C61" s="74" t="s">
        <v>567</v>
      </c>
      <c r="D61" s="74"/>
      <c r="E61" s="74"/>
      <c r="F61" s="75"/>
    </row>
    <row r="62" spans="1:6" ht="16.2" thickBot="1" x14ac:dyDescent="0.35">
      <c r="A62" s="82"/>
      <c r="B62" s="83"/>
      <c r="C62" s="76" t="s">
        <v>568</v>
      </c>
      <c r="D62" s="76"/>
      <c r="E62" s="76"/>
      <c r="F62" s="77"/>
    </row>
    <row r="63" spans="1:6" ht="8.25" customHeight="1" thickBot="1" x14ac:dyDescent="0.3"/>
    <row r="64" spans="1:6" ht="15.6" x14ac:dyDescent="0.3">
      <c r="A64" s="78" t="s">
        <v>429</v>
      </c>
      <c r="B64" s="86"/>
      <c r="C64" s="19" t="s">
        <v>569</v>
      </c>
      <c r="D64" s="5"/>
      <c r="E64" s="5"/>
      <c r="F64" s="6"/>
    </row>
    <row r="65" spans="1:6" ht="15.6" x14ac:dyDescent="0.3">
      <c r="A65" s="80"/>
      <c r="B65" s="87"/>
      <c r="C65" s="20" t="s">
        <v>570</v>
      </c>
      <c r="D65" s="8"/>
      <c r="E65" s="8"/>
      <c r="F65" s="9"/>
    </row>
    <row r="66" spans="1:6" ht="16.2" thickBot="1" x14ac:dyDescent="0.35">
      <c r="A66" s="82"/>
      <c r="B66" s="88"/>
      <c r="C66" s="21" t="s">
        <v>571</v>
      </c>
      <c r="D66" s="10"/>
      <c r="E66" s="10"/>
      <c r="F66" s="11"/>
    </row>
  </sheetData>
  <mergeCells count="36">
    <mergeCell ref="A42:B44"/>
    <mergeCell ref="C42:F42"/>
    <mergeCell ref="C43:F43"/>
    <mergeCell ref="C44:F44"/>
    <mergeCell ref="C46:F46"/>
    <mergeCell ref="A24:B30"/>
    <mergeCell ref="A32:B40"/>
    <mergeCell ref="C37:F37"/>
    <mergeCell ref="C38:F38"/>
    <mergeCell ref="C40:F40"/>
    <mergeCell ref="B11:C11"/>
    <mergeCell ref="B12:C12"/>
    <mergeCell ref="B13:C13"/>
    <mergeCell ref="B14:C14"/>
    <mergeCell ref="B15:C15"/>
    <mergeCell ref="C48:F48"/>
    <mergeCell ref="C49:F49"/>
    <mergeCell ref="C50:F50"/>
    <mergeCell ref="C51:F51"/>
    <mergeCell ref="A64:B66"/>
    <mergeCell ref="A18:F18"/>
    <mergeCell ref="A1:F4"/>
    <mergeCell ref="A6:F6"/>
    <mergeCell ref="C61:F61"/>
    <mergeCell ref="C62:F62"/>
    <mergeCell ref="A57:B62"/>
    <mergeCell ref="C57:F57"/>
    <mergeCell ref="C58:F58"/>
    <mergeCell ref="C59:F59"/>
    <mergeCell ref="C60:F60"/>
    <mergeCell ref="C52:F52"/>
    <mergeCell ref="C53:F53"/>
    <mergeCell ref="C54:F54"/>
    <mergeCell ref="C55:F55"/>
    <mergeCell ref="A46:B55"/>
    <mergeCell ref="C47:F47"/>
  </mergeCells>
  <pageMargins left="0.7" right="0.7" top="0.75" bottom="0.75" header="0.3" footer="0.3"/>
  <pageSetup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N208"/>
  <sheetViews>
    <sheetView showGridLines="0" zoomScaleNormal="100" workbookViewId="0">
      <selection activeCell="B4" sqref="B4"/>
    </sheetView>
  </sheetViews>
  <sheetFormatPr baseColWidth="10" defaultColWidth="11.44140625" defaultRowHeight="15" x14ac:dyDescent="0.25"/>
  <cols>
    <col min="1" max="2" width="11.44140625" style="2"/>
    <col min="3" max="3" width="28.5546875" style="2" customWidth="1"/>
    <col min="4" max="4" width="2.88671875" style="2" customWidth="1"/>
    <col min="5" max="5" width="2.5546875" style="2" customWidth="1"/>
    <col min="6" max="6" width="6.44140625" style="2" customWidth="1"/>
    <col min="7" max="7" width="2.5546875" style="2" customWidth="1"/>
    <col min="8" max="8" width="4.6640625" style="2" customWidth="1"/>
    <col min="9" max="9" width="2.5546875" style="2" customWidth="1"/>
    <col min="10" max="10" width="5.33203125" style="2" customWidth="1"/>
    <col min="11" max="11" width="2.5546875" style="2" customWidth="1"/>
    <col min="12" max="12" width="5.109375" style="2" customWidth="1"/>
    <col min="13" max="14" width="14.44140625" style="2" bestFit="1" customWidth="1"/>
    <col min="15" max="16384" width="11.44140625" style="2"/>
  </cols>
  <sheetData>
    <row r="2" spans="2:14" ht="17.399999999999999" x14ac:dyDescent="0.3">
      <c r="B2" s="71" t="s">
        <v>441</v>
      </c>
      <c r="C2" s="71"/>
      <c r="D2" s="71"/>
      <c r="E2" s="71"/>
      <c r="F2" s="71"/>
      <c r="G2" s="71"/>
      <c r="H2" s="71"/>
      <c r="I2" s="71"/>
      <c r="J2" s="71"/>
      <c r="K2" s="71"/>
      <c r="L2" s="71"/>
      <c r="M2" s="71"/>
      <c r="N2" s="71"/>
    </row>
    <row r="3" spans="2:14" ht="17.399999999999999" x14ac:dyDescent="0.3">
      <c r="B3" s="1"/>
    </row>
    <row r="4" spans="2:14" ht="15.6" x14ac:dyDescent="0.3">
      <c r="B4" s="3" t="s">
        <v>426</v>
      </c>
    </row>
    <row r="5" spans="2:14" x14ac:dyDescent="0.25">
      <c r="C5" s="54"/>
    </row>
    <row r="6" spans="2:14" ht="15.6" x14ac:dyDescent="0.3">
      <c r="E6" s="3">
        <v>3</v>
      </c>
      <c r="F6" s="3"/>
      <c r="G6" s="3">
        <v>2</v>
      </c>
      <c r="H6" s="3"/>
      <c r="I6" s="3">
        <v>1</v>
      </c>
      <c r="J6" s="3"/>
      <c r="K6" s="3">
        <v>0</v>
      </c>
    </row>
    <row r="7" spans="2:14" ht="15.6" x14ac:dyDescent="0.3">
      <c r="E7" s="3"/>
      <c r="F7" s="3"/>
      <c r="G7" s="3"/>
      <c r="H7" s="3"/>
      <c r="I7" s="3"/>
      <c r="J7" s="3"/>
      <c r="K7" s="3"/>
    </row>
    <row r="8" spans="2:14" ht="15.6" x14ac:dyDescent="0.3">
      <c r="B8" s="3" t="s">
        <v>5</v>
      </c>
    </row>
    <row r="9" spans="2:14" ht="15.6" thickBot="1" x14ac:dyDescent="0.3"/>
    <row r="10" spans="2:14" ht="15.75" customHeight="1" x14ac:dyDescent="0.25">
      <c r="B10" s="111" t="s">
        <v>31</v>
      </c>
      <c r="C10" s="108" t="s">
        <v>30</v>
      </c>
      <c r="D10" s="22"/>
      <c r="E10" s="23"/>
      <c r="F10" s="24"/>
      <c r="G10" s="25"/>
      <c r="H10" s="25"/>
      <c r="I10" s="25"/>
      <c r="J10" s="25"/>
      <c r="K10" s="25"/>
      <c r="L10" s="26"/>
    </row>
    <row r="11" spans="2:14" ht="15.6" thickBot="1" x14ac:dyDescent="0.3">
      <c r="B11" s="112"/>
      <c r="C11" s="109"/>
      <c r="D11" s="27"/>
      <c r="E11" s="28"/>
      <c r="F11" s="29"/>
      <c r="L11" s="30"/>
    </row>
    <row r="12" spans="2:14" ht="16.2" thickBot="1" x14ac:dyDescent="0.35">
      <c r="B12" s="112"/>
      <c r="C12" s="109"/>
      <c r="D12" s="27"/>
      <c r="E12" s="31"/>
      <c r="F12" s="32" t="s">
        <v>0</v>
      </c>
      <c r="G12" s="33"/>
      <c r="H12" s="3" t="s">
        <v>2</v>
      </c>
      <c r="I12" s="33"/>
      <c r="J12" s="34" t="s">
        <v>3</v>
      </c>
      <c r="K12" s="33"/>
      <c r="L12" s="35" t="s">
        <v>4</v>
      </c>
      <c r="M12" s="2" t="str">
        <f>IF(E12="X","",IF(G12="X","",IF(I12="X","",IF(K12="X","","Elegir opción"))))</f>
        <v>Elegir opción</v>
      </c>
      <c r="N12" s="28" t="str">
        <f>IF(E12="X",3,IF(G12="X",2,IF(I12="X",1,IF(K12="X",0,"Promedio"))))</f>
        <v>Promedio</v>
      </c>
    </row>
    <row r="13" spans="2:14" ht="26.25" customHeight="1" x14ac:dyDescent="0.25">
      <c r="B13" s="112"/>
      <c r="C13" s="109"/>
      <c r="D13" s="36"/>
      <c r="L13" s="30"/>
    </row>
    <row r="14" spans="2:14" ht="22.5" customHeight="1" x14ac:dyDescent="0.25">
      <c r="B14" s="112"/>
      <c r="C14" s="109"/>
      <c r="D14" s="36"/>
      <c r="L14" s="30"/>
    </row>
    <row r="15" spans="2:14" ht="15.6" thickBot="1" x14ac:dyDescent="0.3">
      <c r="B15" s="113"/>
      <c r="C15" s="110"/>
      <c r="D15" s="37"/>
      <c r="E15" s="38"/>
      <c r="F15" s="38"/>
      <c r="G15" s="38"/>
      <c r="H15" s="38"/>
      <c r="I15" s="38"/>
      <c r="J15" s="38"/>
      <c r="K15" s="38"/>
      <c r="L15" s="39"/>
    </row>
    <row r="16" spans="2:14" ht="5.25" customHeight="1" thickBot="1" x14ac:dyDescent="0.3"/>
    <row r="17" spans="2:14" ht="11.25" customHeight="1" x14ac:dyDescent="0.25">
      <c r="B17" s="111" t="s">
        <v>32</v>
      </c>
      <c r="C17" s="108" t="s">
        <v>33</v>
      </c>
      <c r="D17" s="22"/>
      <c r="E17" s="23"/>
      <c r="F17" s="24"/>
      <c r="G17" s="25"/>
      <c r="H17" s="25"/>
      <c r="I17" s="25"/>
      <c r="J17" s="25"/>
      <c r="K17" s="25"/>
      <c r="L17" s="26"/>
    </row>
    <row r="18" spans="2:14" ht="15.6" thickBot="1" x14ac:dyDescent="0.3">
      <c r="B18" s="112"/>
      <c r="C18" s="109"/>
      <c r="D18" s="27"/>
      <c r="E18" s="28"/>
      <c r="F18" s="29"/>
      <c r="L18" s="30"/>
    </row>
    <row r="19" spans="2:14" ht="16.2" thickBot="1" x14ac:dyDescent="0.35">
      <c r="B19" s="112"/>
      <c r="C19" s="109"/>
      <c r="D19" s="27"/>
      <c r="E19" s="31"/>
      <c r="F19" s="32" t="s">
        <v>0</v>
      </c>
      <c r="G19" s="33"/>
      <c r="H19" s="3" t="s">
        <v>2</v>
      </c>
      <c r="I19" s="33"/>
      <c r="J19" s="34" t="s">
        <v>3</v>
      </c>
      <c r="K19" s="33"/>
      <c r="L19" s="35" t="s">
        <v>4</v>
      </c>
      <c r="M19" s="2" t="str">
        <f>IF(E19="X","",IF(G19="X","",IF(I19="X","",IF(K19="X","","Elegir opción"))))</f>
        <v>Elegir opción</v>
      </c>
      <c r="N19" s="28" t="str">
        <f>IF(E19="X",3,IF(G19="X",2,IF(I19="X",1,IF(K19="X",0,"Promedio"))))</f>
        <v>Promedio</v>
      </c>
    </row>
    <row r="20" spans="2:14" x14ac:dyDescent="0.25">
      <c r="B20" s="112"/>
      <c r="C20" s="109"/>
      <c r="D20" s="36"/>
      <c r="L20" s="30"/>
    </row>
    <row r="21" spans="2:14" x14ac:dyDescent="0.25">
      <c r="B21" s="112"/>
      <c r="C21" s="109"/>
      <c r="D21" s="36"/>
      <c r="L21" s="30"/>
    </row>
    <row r="22" spans="2:14" ht="15.6" thickBot="1" x14ac:dyDescent="0.3">
      <c r="B22" s="113"/>
      <c r="C22" s="110"/>
      <c r="D22" s="37"/>
      <c r="E22" s="38"/>
      <c r="F22" s="38"/>
      <c r="G22" s="38"/>
      <c r="H22" s="38"/>
      <c r="I22" s="38"/>
      <c r="J22" s="38"/>
      <c r="K22" s="38"/>
      <c r="L22" s="39"/>
    </row>
    <row r="23" spans="2:14" ht="5.25" customHeight="1" thickBot="1" x14ac:dyDescent="0.3"/>
    <row r="24" spans="2:14" ht="15" customHeight="1" x14ac:dyDescent="0.25">
      <c r="B24" s="111" t="s">
        <v>34</v>
      </c>
      <c r="C24" s="108" t="s">
        <v>442</v>
      </c>
      <c r="D24" s="22"/>
      <c r="E24" s="23"/>
      <c r="F24" s="24"/>
      <c r="G24" s="25"/>
      <c r="H24" s="25"/>
      <c r="I24" s="25"/>
      <c r="J24" s="25"/>
      <c r="K24" s="25"/>
      <c r="L24" s="26"/>
    </row>
    <row r="25" spans="2:14" ht="15.6" thickBot="1" x14ac:dyDescent="0.3">
      <c r="B25" s="112"/>
      <c r="C25" s="109"/>
      <c r="D25" s="27"/>
      <c r="E25" s="28"/>
      <c r="F25" s="29"/>
      <c r="L25" s="30"/>
    </row>
    <row r="26" spans="2:14" ht="16.2" thickBot="1" x14ac:dyDescent="0.35">
      <c r="B26" s="112"/>
      <c r="C26" s="109"/>
      <c r="D26" s="27"/>
      <c r="E26" s="31"/>
      <c r="F26" s="32" t="s">
        <v>0</v>
      </c>
      <c r="G26" s="33"/>
      <c r="H26" s="3" t="s">
        <v>2</v>
      </c>
      <c r="I26" s="33"/>
      <c r="J26" s="34" t="s">
        <v>3</v>
      </c>
      <c r="K26" s="33"/>
      <c r="L26" s="35" t="s">
        <v>4</v>
      </c>
      <c r="M26" s="2" t="str">
        <f>IF(E26="X","",IF(G26="X","",IF(I26="X","",IF(K26="X","","Elegir opción"))))</f>
        <v>Elegir opción</v>
      </c>
      <c r="N26" s="28" t="str">
        <f>IF(E26="X",3,IF(G26="X",2,IF(I26="X",1,IF(K26="X",0,"Promedio"))))</f>
        <v>Promedio</v>
      </c>
    </row>
    <row r="27" spans="2:14" x14ac:dyDescent="0.25">
      <c r="B27" s="112"/>
      <c r="C27" s="109"/>
      <c r="D27" s="36"/>
      <c r="L27" s="30"/>
    </row>
    <row r="28" spans="2:14" x14ac:dyDescent="0.25">
      <c r="B28" s="112"/>
      <c r="C28" s="109"/>
      <c r="D28" s="36"/>
      <c r="L28" s="30"/>
    </row>
    <row r="29" spans="2:14" ht="15.6" thickBot="1" x14ac:dyDescent="0.3">
      <c r="B29" s="113"/>
      <c r="C29" s="110"/>
      <c r="D29" s="37"/>
      <c r="E29" s="38"/>
      <c r="F29" s="38"/>
      <c r="G29" s="38"/>
      <c r="H29" s="38"/>
      <c r="I29" s="38"/>
      <c r="J29" s="38"/>
      <c r="K29" s="38"/>
      <c r="L29" s="39"/>
    </row>
    <row r="30" spans="2:14" ht="5.25" customHeight="1" thickBot="1" x14ac:dyDescent="0.3"/>
    <row r="31" spans="2:14" x14ac:dyDescent="0.25">
      <c r="B31" s="111" t="s">
        <v>35</v>
      </c>
      <c r="C31" s="108" t="s">
        <v>36</v>
      </c>
      <c r="D31" s="22"/>
      <c r="E31" s="23"/>
      <c r="F31" s="24"/>
      <c r="G31" s="25"/>
      <c r="H31" s="25"/>
      <c r="I31" s="25"/>
      <c r="J31" s="25"/>
      <c r="K31" s="25"/>
      <c r="L31" s="26"/>
    </row>
    <row r="32" spans="2:14" ht="15.6" thickBot="1" x14ac:dyDescent="0.3">
      <c r="B32" s="112"/>
      <c r="C32" s="109"/>
      <c r="D32" s="27"/>
      <c r="E32" s="28"/>
      <c r="F32" s="29"/>
      <c r="L32" s="30"/>
    </row>
    <row r="33" spans="2:14" ht="16.2" thickBot="1" x14ac:dyDescent="0.35">
      <c r="B33" s="112"/>
      <c r="C33" s="109"/>
      <c r="D33" s="27"/>
      <c r="E33" s="31"/>
      <c r="F33" s="32" t="s">
        <v>0</v>
      </c>
      <c r="G33" s="33"/>
      <c r="H33" s="3" t="s">
        <v>2</v>
      </c>
      <c r="I33" s="33"/>
      <c r="J33" s="34" t="s">
        <v>3</v>
      </c>
      <c r="K33" s="33"/>
      <c r="L33" s="35" t="s">
        <v>4</v>
      </c>
      <c r="M33" s="2" t="str">
        <f>IF(E33="X","",IF(G33="X","",IF(I33="X","",IF(K33="X","","Elegir opción"))))</f>
        <v>Elegir opción</v>
      </c>
      <c r="N33" s="28" t="str">
        <f>IF(E33="X",3,IF(G33="X",2,IF(I33="X",1,IF(K33="X",0,"Promedio"))))</f>
        <v>Promedio</v>
      </c>
    </row>
    <row r="34" spans="2:14" x14ac:dyDescent="0.25">
      <c r="B34" s="112"/>
      <c r="C34" s="109"/>
      <c r="D34" s="36"/>
      <c r="L34" s="30"/>
    </row>
    <row r="35" spans="2:14" x14ac:dyDescent="0.25">
      <c r="B35" s="112"/>
      <c r="C35" s="109"/>
      <c r="D35" s="36"/>
      <c r="L35" s="30"/>
    </row>
    <row r="36" spans="2:14" ht="15.6" thickBot="1" x14ac:dyDescent="0.3">
      <c r="B36" s="113"/>
      <c r="C36" s="110"/>
      <c r="D36" s="37"/>
      <c r="E36" s="38"/>
      <c r="F36" s="38"/>
      <c r="G36" s="38"/>
      <c r="H36" s="38"/>
      <c r="I36" s="38"/>
      <c r="J36" s="38"/>
      <c r="K36" s="38"/>
      <c r="L36" s="39"/>
    </row>
    <row r="37" spans="2:14" ht="5.25" customHeight="1" thickBot="1" x14ac:dyDescent="0.3"/>
    <row r="38" spans="2:14" x14ac:dyDescent="0.25">
      <c r="B38" s="111" t="s">
        <v>38</v>
      </c>
      <c r="C38" s="108" t="s">
        <v>37</v>
      </c>
      <c r="D38" s="22"/>
      <c r="E38" s="23"/>
      <c r="F38" s="24"/>
      <c r="G38" s="25"/>
      <c r="H38" s="25"/>
      <c r="I38" s="25"/>
      <c r="J38" s="25"/>
      <c r="K38" s="25"/>
      <c r="L38" s="26"/>
    </row>
    <row r="39" spans="2:14" ht="15.6" thickBot="1" x14ac:dyDescent="0.3">
      <c r="B39" s="112"/>
      <c r="C39" s="109"/>
      <c r="D39" s="27"/>
      <c r="E39" s="28"/>
      <c r="F39" s="29"/>
      <c r="L39" s="30"/>
    </row>
    <row r="40" spans="2:14" ht="16.2" thickBot="1" x14ac:dyDescent="0.35">
      <c r="B40" s="112"/>
      <c r="C40" s="109"/>
      <c r="D40" s="27"/>
      <c r="E40" s="31"/>
      <c r="F40" s="32" t="s">
        <v>0</v>
      </c>
      <c r="G40" s="33"/>
      <c r="H40" s="3" t="s">
        <v>2</v>
      </c>
      <c r="I40" s="33"/>
      <c r="J40" s="34" t="s">
        <v>3</v>
      </c>
      <c r="K40" s="33"/>
      <c r="L40" s="35" t="s">
        <v>4</v>
      </c>
      <c r="M40" s="2" t="str">
        <f>IF(E40="X","",IF(G40="X","",IF(I40="X","",IF(K40="X","","Elegir opción"))))</f>
        <v>Elegir opción</v>
      </c>
      <c r="N40" s="28" t="str">
        <f>IF(E40="X",3,IF(G40="X",2,IF(I40="X",1,IF(K40="X",0,"Promedio"))))</f>
        <v>Promedio</v>
      </c>
    </row>
    <row r="41" spans="2:14" x14ac:dyDescent="0.25">
      <c r="B41" s="112"/>
      <c r="C41" s="109"/>
      <c r="D41" s="36"/>
      <c r="L41" s="30"/>
    </row>
    <row r="42" spans="2:14" x14ac:dyDescent="0.25">
      <c r="B42" s="112"/>
      <c r="C42" s="109"/>
      <c r="D42" s="36"/>
      <c r="L42" s="30"/>
    </row>
    <row r="43" spans="2:14" ht="15.6" thickBot="1" x14ac:dyDescent="0.3">
      <c r="B43" s="113"/>
      <c r="C43" s="110"/>
      <c r="D43" s="37"/>
      <c r="E43" s="38"/>
      <c r="F43" s="38"/>
      <c r="G43" s="38"/>
      <c r="H43" s="38"/>
      <c r="I43" s="38"/>
      <c r="J43" s="38"/>
      <c r="K43" s="38"/>
      <c r="L43" s="39"/>
    </row>
    <row r="44" spans="2:14" ht="5.25" customHeight="1" thickBot="1" x14ac:dyDescent="0.3"/>
    <row r="45" spans="2:14" x14ac:dyDescent="0.25">
      <c r="B45" s="111" t="s">
        <v>40</v>
      </c>
      <c r="C45" s="108" t="s">
        <v>39</v>
      </c>
      <c r="D45" s="22"/>
      <c r="E45" s="23"/>
      <c r="F45" s="24"/>
      <c r="G45" s="25"/>
      <c r="H45" s="25"/>
      <c r="I45" s="25"/>
      <c r="J45" s="25"/>
      <c r="K45" s="25"/>
      <c r="L45" s="26"/>
    </row>
    <row r="46" spans="2:14" ht="15.6" thickBot="1" x14ac:dyDescent="0.3">
      <c r="B46" s="112"/>
      <c r="C46" s="109"/>
      <c r="D46" s="27"/>
      <c r="E46" s="28"/>
      <c r="F46" s="29"/>
      <c r="L46" s="30"/>
    </row>
    <row r="47" spans="2:14" ht="16.2" thickBot="1" x14ac:dyDescent="0.35">
      <c r="B47" s="112"/>
      <c r="C47" s="109"/>
      <c r="D47" s="27"/>
      <c r="E47" s="31"/>
      <c r="F47" s="32" t="s">
        <v>0</v>
      </c>
      <c r="G47" s="33"/>
      <c r="H47" s="3" t="s">
        <v>2</v>
      </c>
      <c r="I47" s="33"/>
      <c r="J47" s="34" t="s">
        <v>3</v>
      </c>
      <c r="K47" s="33"/>
      <c r="L47" s="35" t="s">
        <v>4</v>
      </c>
      <c r="M47" s="2" t="str">
        <f>IF(E47="X","",IF(G47="X","",IF(I47="X","",IF(K47="X","","Elegir opción"))))</f>
        <v>Elegir opción</v>
      </c>
      <c r="N47" s="28" t="str">
        <f>IF(E47="X",3,IF(G47="X",2,IF(I47="X",1,IF(K47="X",0,"Promedio"))))</f>
        <v>Promedio</v>
      </c>
    </row>
    <row r="48" spans="2:14" x14ac:dyDescent="0.25">
      <c r="B48" s="112"/>
      <c r="C48" s="109"/>
      <c r="D48" s="36"/>
      <c r="L48" s="30"/>
    </row>
    <row r="49" spans="2:14" x14ac:dyDescent="0.25">
      <c r="B49" s="112"/>
      <c r="C49" s="109"/>
      <c r="D49" s="36"/>
      <c r="L49" s="30"/>
    </row>
    <row r="50" spans="2:14" ht="15.6" thickBot="1" x14ac:dyDescent="0.3">
      <c r="B50" s="113"/>
      <c r="C50" s="110"/>
      <c r="D50" s="37"/>
      <c r="E50" s="38"/>
      <c r="F50" s="38"/>
      <c r="G50" s="38"/>
      <c r="H50" s="38"/>
      <c r="I50" s="38"/>
      <c r="J50" s="38"/>
      <c r="K50" s="38"/>
      <c r="L50" s="39"/>
    </row>
    <row r="51" spans="2:14" ht="5.25" customHeight="1" thickBot="1" x14ac:dyDescent="0.3"/>
    <row r="52" spans="2:14" x14ac:dyDescent="0.25">
      <c r="B52" s="111" t="s">
        <v>42</v>
      </c>
      <c r="C52" s="108" t="s">
        <v>41</v>
      </c>
      <c r="D52" s="22"/>
      <c r="E52" s="23"/>
      <c r="F52" s="24"/>
      <c r="G52" s="25"/>
      <c r="H52" s="25"/>
      <c r="I52" s="25"/>
      <c r="J52" s="25"/>
      <c r="K52" s="25"/>
      <c r="L52" s="26"/>
    </row>
    <row r="53" spans="2:14" ht="15.6" thickBot="1" x14ac:dyDescent="0.3">
      <c r="B53" s="112"/>
      <c r="C53" s="109"/>
      <c r="D53" s="27"/>
      <c r="E53" s="28"/>
      <c r="F53" s="29"/>
      <c r="L53" s="30"/>
    </row>
    <row r="54" spans="2:14" ht="16.2" thickBot="1" x14ac:dyDescent="0.35">
      <c r="B54" s="112"/>
      <c r="C54" s="109"/>
      <c r="D54" s="27"/>
      <c r="E54" s="31"/>
      <c r="F54" s="32" t="s">
        <v>0</v>
      </c>
      <c r="G54" s="33"/>
      <c r="H54" s="3" t="s">
        <v>2</v>
      </c>
      <c r="I54" s="33"/>
      <c r="J54" s="34" t="s">
        <v>3</v>
      </c>
      <c r="K54" s="33"/>
      <c r="L54" s="35" t="s">
        <v>4</v>
      </c>
      <c r="M54" s="2" t="str">
        <f>IF(E54="X","",IF(G54="X","",IF(I54="X","",IF(K54="X","","Elegir opción"))))</f>
        <v>Elegir opción</v>
      </c>
      <c r="N54" s="28" t="str">
        <f>IF(E54="X",3,IF(G54="X",2,IF(I54="X",1,IF(K54="X",0,"Promedio"))))</f>
        <v>Promedio</v>
      </c>
    </row>
    <row r="55" spans="2:14" x14ac:dyDescent="0.25">
      <c r="B55" s="112"/>
      <c r="C55" s="109"/>
      <c r="D55" s="36"/>
      <c r="L55" s="30"/>
    </row>
    <row r="56" spans="2:14" x14ac:dyDescent="0.25">
      <c r="B56" s="112"/>
      <c r="C56" s="109"/>
      <c r="D56" s="36"/>
      <c r="L56" s="30"/>
    </row>
    <row r="57" spans="2:14" ht="15.6" thickBot="1" x14ac:dyDescent="0.3">
      <c r="B57" s="113"/>
      <c r="C57" s="110"/>
      <c r="D57" s="37"/>
      <c r="E57" s="38"/>
      <c r="F57" s="38"/>
      <c r="G57" s="38"/>
      <c r="H57" s="38"/>
      <c r="I57" s="38"/>
      <c r="J57" s="38"/>
      <c r="K57" s="38"/>
      <c r="L57" s="39"/>
    </row>
    <row r="58" spans="2:14" ht="5.25" customHeight="1" thickBot="1" x14ac:dyDescent="0.3"/>
    <row r="59" spans="2:14" x14ac:dyDescent="0.25">
      <c r="B59" s="111" t="s">
        <v>44</v>
      </c>
      <c r="C59" s="108" t="s">
        <v>43</v>
      </c>
      <c r="D59" s="22"/>
      <c r="E59" s="23"/>
      <c r="F59" s="24"/>
      <c r="G59" s="25"/>
      <c r="H59" s="25"/>
      <c r="I59" s="25"/>
      <c r="J59" s="25"/>
      <c r="K59" s="25"/>
      <c r="L59" s="26"/>
    </row>
    <row r="60" spans="2:14" ht="15.6" thickBot="1" x14ac:dyDescent="0.3">
      <c r="B60" s="112"/>
      <c r="C60" s="109"/>
      <c r="D60" s="27"/>
      <c r="E60" s="28"/>
      <c r="F60" s="29"/>
      <c r="L60" s="30"/>
    </row>
    <row r="61" spans="2:14" ht="16.2" thickBot="1" x14ac:dyDescent="0.35">
      <c r="B61" s="112"/>
      <c r="C61" s="109"/>
      <c r="D61" s="27"/>
      <c r="E61" s="31"/>
      <c r="F61" s="32" t="s">
        <v>0</v>
      </c>
      <c r="G61" s="33"/>
      <c r="H61" s="3" t="s">
        <v>2</v>
      </c>
      <c r="I61" s="33"/>
      <c r="J61" s="34" t="s">
        <v>3</v>
      </c>
      <c r="K61" s="33"/>
      <c r="L61" s="35" t="s">
        <v>4</v>
      </c>
      <c r="M61" s="2" t="str">
        <f>IF(E61="X","",IF(G61="X","",IF(I61="X","",IF(K61="X","","Elegir opción"))))</f>
        <v>Elegir opción</v>
      </c>
      <c r="N61" s="28" t="str">
        <f>IF(E61="X",3,IF(G61="X",2,IF(I61="X",1,IF(K61="X",0,"Promedio"))))</f>
        <v>Promedio</v>
      </c>
    </row>
    <row r="62" spans="2:14" x14ac:dyDescent="0.25">
      <c r="B62" s="112"/>
      <c r="C62" s="109"/>
      <c r="D62" s="36"/>
      <c r="L62" s="30"/>
    </row>
    <row r="63" spans="2:14" x14ac:dyDescent="0.25">
      <c r="B63" s="112"/>
      <c r="C63" s="109"/>
      <c r="D63" s="36"/>
      <c r="L63" s="30"/>
    </row>
    <row r="64" spans="2:14" ht="15.6" thickBot="1" x14ac:dyDescent="0.3">
      <c r="B64" s="113"/>
      <c r="C64" s="110"/>
      <c r="D64" s="37"/>
      <c r="E64" s="38"/>
      <c r="F64" s="38"/>
      <c r="G64" s="38"/>
      <c r="H64" s="38"/>
      <c r="I64" s="38"/>
      <c r="J64" s="38"/>
      <c r="K64" s="38"/>
      <c r="L64" s="39"/>
    </row>
    <row r="65" spans="2:14" x14ac:dyDescent="0.25">
      <c r="B65" s="40"/>
      <c r="C65" s="41"/>
    </row>
    <row r="66" spans="2:14" ht="15.6" x14ac:dyDescent="0.3">
      <c r="E66" s="3"/>
      <c r="F66" s="3"/>
      <c r="G66" s="3"/>
      <c r="H66" s="3"/>
      <c r="I66" s="3"/>
      <c r="J66" s="3"/>
      <c r="K66" s="3"/>
    </row>
    <row r="67" spans="2:14" ht="15.6" x14ac:dyDescent="0.3">
      <c r="B67" s="3" t="s">
        <v>6</v>
      </c>
    </row>
    <row r="68" spans="2:14" ht="15.6" thickBot="1" x14ac:dyDescent="0.3"/>
    <row r="69" spans="2:14" x14ac:dyDescent="0.25">
      <c r="B69" s="111" t="s">
        <v>47</v>
      </c>
      <c r="C69" s="108" t="s">
        <v>46</v>
      </c>
      <c r="D69" s="22"/>
      <c r="E69" s="23"/>
      <c r="F69" s="24"/>
      <c r="G69" s="25"/>
      <c r="H69" s="25"/>
      <c r="I69" s="25"/>
      <c r="J69" s="25"/>
      <c r="K69" s="25"/>
      <c r="L69" s="26"/>
    </row>
    <row r="70" spans="2:14" ht="15.6" thickBot="1" x14ac:dyDescent="0.3">
      <c r="B70" s="112"/>
      <c r="C70" s="109"/>
      <c r="D70" s="27"/>
      <c r="E70" s="28"/>
      <c r="F70" s="29"/>
      <c r="L70" s="30"/>
    </row>
    <row r="71" spans="2:14" ht="16.2" thickBot="1" x14ac:dyDescent="0.35">
      <c r="B71" s="112"/>
      <c r="C71" s="109"/>
      <c r="D71" s="27"/>
      <c r="E71" s="31"/>
      <c r="F71" s="32" t="s">
        <v>0</v>
      </c>
      <c r="G71" s="33"/>
      <c r="H71" s="3" t="s">
        <v>2</v>
      </c>
      <c r="I71" s="33"/>
      <c r="J71" s="34" t="s">
        <v>3</v>
      </c>
      <c r="K71" s="33"/>
      <c r="L71" s="35" t="s">
        <v>4</v>
      </c>
      <c r="M71" s="2" t="str">
        <f>IF(E71="X","",IF(G71="X","",IF(I71="X","",IF(K71="X","","Elegir opción"))))</f>
        <v>Elegir opción</v>
      </c>
      <c r="N71" s="28" t="str">
        <f>IF(E71="X",3,IF(G71="X",2,IF(I71="X",1,IF(K71="X",0,"Promedio"))))</f>
        <v>Promedio</v>
      </c>
    </row>
    <row r="72" spans="2:14" x14ac:dyDescent="0.25">
      <c r="B72" s="112"/>
      <c r="C72" s="109"/>
      <c r="D72" s="36"/>
      <c r="L72" s="30"/>
    </row>
    <row r="73" spans="2:14" x14ac:dyDescent="0.25">
      <c r="B73" s="112"/>
      <c r="C73" s="109"/>
      <c r="D73" s="36"/>
      <c r="L73" s="30"/>
    </row>
    <row r="74" spans="2:14" ht="15.6" thickBot="1" x14ac:dyDescent="0.3">
      <c r="B74" s="113"/>
      <c r="C74" s="110"/>
      <c r="D74" s="37"/>
      <c r="E74" s="38"/>
      <c r="F74" s="38"/>
      <c r="G74" s="38"/>
      <c r="H74" s="38"/>
      <c r="I74" s="38"/>
      <c r="J74" s="38"/>
      <c r="K74" s="38"/>
      <c r="L74" s="39"/>
    </row>
    <row r="75" spans="2:14" ht="5.25" customHeight="1" thickBot="1" x14ac:dyDescent="0.3"/>
    <row r="76" spans="2:14" ht="21.75" customHeight="1" x14ac:dyDescent="0.25">
      <c r="B76" s="111" t="s">
        <v>49</v>
      </c>
      <c r="C76" s="108" t="s">
        <v>443</v>
      </c>
      <c r="D76" s="22"/>
      <c r="E76" s="23"/>
      <c r="F76" s="24"/>
      <c r="G76" s="25"/>
      <c r="H76" s="25"/>
      <c r="I76" s="25"/>
      <c r="J76" s="25"/>
      <c r="K76" s="25"/>
      <c r="L76" s="26"/>
    </row>
    <row r="77" spans="2:14" ht="21" customHeight="1" thickBot="1" x14ac:dyDescent="0.3">
      <c r="B77" s="112"/>
      <c r="C77" s="109"/>
      <c r="D77" s="27"/>
      <c r="E77" s="28"/>
      <c r="F77" s="29"/>
      <c r="L77" s="30"/>
    </row>
    <row r="78" spans="2:14" ht="20.25" customHeight="1" thickBot="1" x14ac:dyDescent="0.35">
      <c r="B78" s="112"/>
      <c r="C78" s="109"/>
      <c r="D78" s="27"/>
      <c r="E78" s="31"/>
      <c r="F78" s="32" t="s">
        <v>0</v>
      </c>
      <c r="G78" s="33"/>
      <c r="H78" s="3" t="s">
        <v>2</v>
      </c>
      <c r="I78" s="33"/>
      <c r="J78" s="34" t="s">
        <v>3</v>
      </c>
      <c r="K78" s="33"/>
      <c r="L78" s="35" t="s">
        <v>4</v>
      </c>
      <c r="M78" s="2" t="str">
        <f>IF(E78="X","",IF(G78="X","",IF(I78="X","",IF(K78="X","","Elegir opción"))))</f>
        <v>Elegir opción</v>
      </c>
      <c r="N78" s="28" t="str">
        <f>IF(E78="X",3,IF(G78="X",2,IF(I78="X",1,IF(K78="X",0,"Promedio"))))</f>
        <v>Promedio</v>
      </c>
    </row>
    <row r="79" spans="2:14" ht="24" customHeight="1" x14ac:dyDescent="0.25">
      <c r="B79" s="112"/>
      <c r="C79" s="109"/>
      <c r="D79" s="36"/>
      <c r="L79" s="30"/>
    </row>
    <row r="80" spans="2:14" x14ac:dyDescent="0.25">
      <c r="B80" s="112"/>
      <c r="C80" s="109"/>
      <c r="D80" s="36"/>
      <c r="L80" s="30"/>
    </row>
    <row r="81" spans="2:14" ht="15.6" thickBot="1" x14ac:dyDescent="0.3">
      <c r="B81" s="113"/>
      <c r="C81" s="110"/>
      <c r="D81" s="37"/>
      <c r="E81" s="38"/>
      <c r="F81" s="38"/>
      <c r="G81" s="38"/>
      <c r="H81" s="38"/>
      <c r="I81" s="38"/>
      <c r="J81" s="38"/>
      <c r="K81" s="38"/>
      <c r="L81" s="39"/>
    </row>
    <row r="82" spans="2:14" x14ac:dyDescent="0.25">
      <c r="B82" s="40"/>
      <c r="C82" s="41"/>
    </row>
    <row r="83" spans="2:14" ht="15.6" x14ac:dyDescent="0.3">
      <c r="E83" s="3"/>
      <c r="F83" s="3"/>
      <c r="G83" s="3"/>
      <c r="H83" s="3"/>
      <c r="I83" s="3"/>
      <c r="J83" s="3"/>
      <c r="K83" s="3"/>
    </row>
    <row r="84" spans="2:14" ht="15.6" x14ac:dyDescent="0.3">
      <c r="B84" s="3" t="s">
        <v>7</v>
      </c>
    </row>
    <row r="85" spans="2:14" ht="15.6" thickBot="1" x14ac:dyDescent="0.3"/>
    <row r="86" spans="2:14" x14ac:dyDescent="0.25">
      <c r="B86" s="111" t="s">
        <v>48</v>
      </c>
      <c r="C86" s="108" t="s">
        <v>50</v>
      </c>
      <c r="D86" s="22"/>
      <c r="E86" s="23"/>
      <c r="F86" s="24"/>
      <c r="G86" s="25"/>
      <c r="H86" s="25"/>
      <c r="I86" s="25"/>
      <c r="J86" s="25"/>
      <c r="K86" s="25"/>
      <c r="L86" s="26"/>
    </row>
    <row r="87" spans="2:14" ht="15.6" thickBot="1" x14ac:dyDescent="0.3">
      <c r="B87" s="112"/>
      <c r="C87" s="109"/>
      <c r="D87" s="27"/>
      <c r="E87" s="28"/>
      <c r="F87" s="29"/>
      <c r="L87" s="30"/>
    </row>
    <row r="88" spans="2:14" ht="16.2" thickBot="1" x14ac:dyDescent="0.35">
      <c r="B88" s="112"/>
      <c r="C88" s="109"/>
      <c r="D88" s="27"/>
      <c r="E88" s="31"/>
      <c r="F88" s="32" t="s">
        <v>0</v>
      </c>
      <c r="G88" s="33"/>
      <c r="H88" s="3" t="s">
        <v>2</v>
      </c>
      <c r="I88" s="33"/>
      <c r="J88" s="34" t="s">
        <v>3</v>
      </c>
      <c r="K88" s="33"/>
      <c r="L88" s="35" t="s">
        <v>4</v>
      </c>
      <c r="M88" s="2" t="str">
        <f>IF(E88="X","",IF(G88="X","",IF(I88="X","",IF(K88="X","","Elegir opción"))))</f>
        <v>Elegir opción</v>
      </c>
      <c r="N88" s="28" t="str">
        <f>IF(E88="X",3,IF(G88="X",2,IF(I88="X",1,IF(K88="X",0,"Promedio"))))</f>
        <v>Promedio</v>
      </c>
    </row>
    <row r="89" spans="2:14" x14ac:dyDescent="0.25">
      <c r="B89" s="112"/>
      <c r="C89" s="109"/>
      <c r="D89" s="36"/>
      <c r="L89" s="30"/>
    </row>
    <row r="90" spans="2:14" x14ac:dyDescent="0.25">
      <c r="B90" s="112"/>
      <c r="C90" s="109"/>
      <c r="D90" s="36"/>
      <c r="L90" s="30"/>
    </row>
    <row r="91" spans="2:14" ht="15.6" thickBot="1" x14ac:dyDescent="0.3">
      <c r="B91" s="113"/>
      <c r="C91" s="110"/>
      <c r="D91" s="37"/>
      <c r="E91" s="38"/>
      <c r="F91" s="38"/>
      <c r="G91" s="38"/>
      <c r="H91" s="38"/>
      <c r="I91" s="38"/>
      <c r="J91" s="38"/>
      <c r="K91" s="38"/>
      <c r="L91" s="39"/>
    </row>
    <row r="92" spans="2:14" ht="5.25" customHeight="1" thickBot="1" x14ac:dyDescent="0.3"/>
    <row r="93" spans="2:14" ht="15" customHeight="1" x14ac:dyDescent="0.25">
      <c r="B93" s="111" t="s">
        <v>51</v>
      </c>
      <c r="C93" s="108" t="s">
        <v>444</v>
      </c>
      <c r="D93" s="22"/>
      <c r="E93" s="23"/>
      <c r="F93" s="24"/>
      <c r="G93" s="25"/>
      <c r="H93" s="25"/>
      <c r="I93" s="25"/>
      <c r="J93" s="25"/>
      <c r="K93" s="25"/>
      <c r="L93" s="26"/>
    </row>
    <row r="94" spans="2:14" ht="15.6" thickBot="1" x14ac:dyDescent="0.3">
      <c r="B94" s="112"/>
      <c r="C94" s="109"/>
      <c r="D94" s="27"/>
      <c r="E94" s="28"/>
      <c r="F94" s="29"/>
      <c r="L94" s="30"/>
    </row>
    <row r="95" spans="2:14" ht="16.2" thickBot="1" x14ac:dyDescent="0.35">
      <c r="B95" s="112"/>
      <c r="C95" s="109"/>
      <c r="D95" s="27"/>
      <c r="E95" s="31"/>
      <c r="F95" s="32" t="s">
        <v>0</v>
      </c>
      <c r="G95" s="33"/>
      <c r="H95" s="3" t="s">
        <v>2</v>
      </c>
      <c r="I95" s="33"/>
      <c r="J95" s="34" t="s">
        <v>3</v>
      </c>
      <c r="K95" s="33"/>
      <c r="L95" s="35" t="s">
        <v>4</v>
      </c>
      <c r="M95" s="2" t="str">
        <f>IF(E95="X","",IF(G95="X","",IF(I95="X","",IF(K95="X","","Elegir opción"))))</f>
        <v>Elegir opción</v>
      </c>
      <c r="N95" s="28" t="str">
        <f>IF(E95="X",3,IF(G95="X",2,IF(I95="X",1,IF(K95="X",0,"Promedio"))))</f>
        <v>Promedio</v>
      </c>
    </row>
    <row r="96" spans="2:14" x14ac:dyDescent="0.25">
      <c r="B96" s="112"/>
      <c r="C96" s="109"/>
      <c r="D96" s="36"/>
      <c r="L96" s="30"/>
    </row>
    <row r="97" spans="2:14" x14ac:dyDescent="0.25">
      <c r="B97" s="112"/>
      <c r="C97" s="109"/>
      <c r="D97" s="36"/>
      <c r="L97" s="30"/>
    </row>
    <row r="98" spans="2:14" ht="15.6" thickBot="1" x14ac:dyDescent="0.3">
      <c r="B98" s="113"/>
      <c r="C98" s="110"/>
      <c r="D98" s="37"/>
      <c r="E98" s="38"/>
      <c r="F98" s="38"/>
      <c r="G98" s="38"/>
      <c r="H98" s="38"/>
      <c r="I98" s="38"/>
      <c r="J98" s="38"/>
      <c r="K98" s="38"/>
      <c r="L98" s="39"/>
    </row>
    <row r="99" spans="2:14" ht="8.25" customHeight="1" thickBot="1" x14ac:dyDescent="0.3"/>
    <row r="100" spans="2:14" x14ac:dyDescent="0.25">
      <c r="B100" s="111" t="s">
        <v>52</v>
      </c>
      <c r="C100" s="108" t="s">
        <v>53</v>
      </c>
      <c r="D100" s="22"/>
      <c r="E100" s="23"/>
      <c r="F100" s="24"/>
      <c r="G100" s="25"/>
      <c r="H100" s="25"/>
      <c r="I100" s="25"/>
      <c r="J100" s="25"/>
      <c r="K100" s="25"/>
      <c r="L100" s="26"/>
    </row>
    <row r="101" spans="2:14" ht="15.6" thickBot="1" x14ac:dyDescent="0.3">
      <c r="B101" s="112"/>
      <c r="C101" s="109"/>
      <c r="D101" s="27"/>
      <c r="E101" s="28"/>
      <c r="F101" s="29"/>
      <c r="L101" s="30"/>
    </row>
    <row r="102" spans="2:14" ht="16.2" thickBot="1" x14ac:dyDescent="0.35">
      <c r="B102" s="112"/>
      <c r="C102" s="109"/>
      <c r="D102" s="27"/>
      <c r="E102" s="31"/>
      <c r="F102" s="32" t="s">
        <v>0</v>
      </c>
      <c r="G102" s="33"/>
      <c r="H102" s="3" t="s">
        <v>2</v>
      </c>
      <c r="I102" s="33"/>
      <c r="J102" s="34" t="s">
        <v>3</v>
      </c>
      <c r="K102" s="33"/>
      <c r="L102" s="35" t="s">
        <v>4</v>
      </c>
      <c r="M102" s="2" t="str">
        <f>IF(E102="X","",IF(G102="X","",IF(I102="X","",IF(K102="X","","Elegir opción"))))</f>
        <v>Elegir opción</v>
      </c>
      <c r="N102" s="28" t="str">
        <f>IF(E102="X",3,IF(G102="X",2,IF(I102="X",1,IF(K102="X",0,"Promedio"))))</f>
        <v>Promedio</v>
      </c>
    </row>
    <row r="103" spans="2:14" x14ac:dyDescent="0.25">
      <c r="B103" s="112"/>
      <c r="C103" s="109"/>
      <c r="D103" s="36"/>
      <c r="L103" s="30"/>
    </row>
    <row r="104" spans="2:14" x14ac:dyDescent="0.25">
      <c r="B104" s="112"/>
      <c r="C104" s="109"/>
      <c r="D104" s="36"/>
      <c r="L104" s="30"/>
    </row>
    <row r="105" spans="2:14" ht="15.6" thickBot="1" x14ac:dyDescent="0.3">
      <c r="B105" s="113"/>
      <c r="C105" s="110"/>
      <c r="D105" s="37"/>
      <c r="E105" s="38"/>
      <c r="F105" s="38"/>
      <c r="G105" s="38"/>
      <c r="H105" s="38"/>
      <c r="I105" s="38"/>
      <c r="J105" s="38"/>
      <c r="K105" s="38"/>
      <c r="L105" s="39"/>
    </row>
    <row r="106" spans="2:14" ht="8.25" customHeight="1" thickBot="1" x14ac:dyDescent="0.3"/>
    <row r="107" spans="2:14" x14ac:dyDescent="0.25">
      <c r="B107" s="111" t="s">
        <v>54</v>
      </c>
      <c r="C107" s="108" t="s">
        <v>55</v>
      </c>
      <c r="D107" s="22"/>
      <c r="E107" s="23"/>
      <c r="F107" s="24"/>
      <c r="G107" s="25"/>
      <c r="H107" s="25"/>
      <c r="I107" s="25"/>
      <c r="J107" s="25"/>
      <c r="K107" s="25"/>
      <c r="L107" s="26"/>
    </row>
    <row r="108" spans="2:14" ht="15.6" thickBot="1" x14ac:dyDescent="0.3">
      <c r="B108" s="112"/>
      <c r="C108" s="109"/>
      <c r="D108" s="27"/>
      <c r="E108" s="28"/>
      <c r="F108" s="29"/>
      <c r="L108" s="30"/>
    </row>
    <row r="109" spans="2:14" ht="16.2" thickBot="1" x14ac:dyDescent="0.35">
      <c r="B109" s="112"/>
      <c r="C109" s="109"/>
      <c r="D109" s="27"/>
      <c r="E109" s="31"/>
      <c r="F109" s="32" t="s">
        <v>0</v>
      </c>
      <c r="G109" s="33"/>
      <c r="H109" s="3" t="s">
        <v>2</v>
      </c>
      <c r="I109" s="33"/>
      <c r="J109" s="34" t="s">
        <v>3</v>
      </c>
      <c r="K109" s="33"/>
      <c r="L109" s="35" t="s">
        <v>4</v>
      </c>
      <c r="M109" s="2" t="str">
        <f>IF(E109="X","",IF(G109="X","",IF(I109="X","",IF(K109="X","","Elegir opción"))))</f>
        <v>Elegir opción</v>
      </c>
      <c r="N109" s="28" t="str">
        <f>IF(E109="X",3,IF(G109="X",2,IF(I109="X",1,IF(K109="X",0,"Promedio"))))</f>
        <v>Promedio</v>
      </c>
    </row>
    <row r="110" spans="2:14" ht="23.25" customHeight="1" x14ac:dyDescent="0.25">
      <c r="B110" s="112"/>
      <c r="C110" s="109"/>
      <c r="D110" s="36"/>
      <c r="L110" s="30"/>
    </row>
    <row r="111" spans="2:14" x14ac:dyDescent="0.25">
      <c r="B111" s="112"/>
      <c r="C111" s="109"/>
      <c r="D111" s="36"/>
      <c r="L111" s="30"/>
    </row>
    <row r="112" spans="2:14" ht="15.6" thickBot="1" x14ac:dyDescent="0.3">
      <c r="B112" s="113"/>
      <c r="C112" s="110"/>
      <c r="D112" s="37"/>
      <c r="E112" s="38"/>
      <c r="F112" s="38"/>
      <c r="G112" s="38"/>
      <c r="H112" s="38"/>
      <c r="I112" s="38"/>
      <c r="J112" s="38"/>
      <c r="K112" s="38"/>
      <c r="L112" s="39"/>
    </row>
    <row r="113" spans="2:14" x14ac:dyDescent="0.25">
      <c r="B113" s="40"/>
      <c r="C113" s="41"/>
    </row>
    <row r="114" spans="2:14" ht="15.6" x14ac:dyDescent="0.3">
      <c r="E114" s="3"/>
      <c r="F114" s="3"/>
      <c r="G114" s="3"/>
      <c r="H114" s="3"/>
      <c r="I114" s="3"/>
      <c r="J114" s="3"/>
      <c r="K114" s="3"/>
    </row>
    <row r="115" spans="2:14" ht="15.6" x14ac:dyDescent="0.3">
      <c r="B115" s="3" t="s">
        <v>8</v>
      </c>
    </row>
    <row r="116" spans="2:14" ht="15.6" thickBot="1" x14ac:dyDescent="0.3"/>
    <row r="117" spans="2:14" x14ac:dyDescent="0.25">
      <c r="B117" s="111" t="s">
        <v>57</v>
      </c>
      <c r="C117" s="108" t="s">
        <v>58</v>
      </c>
      <c r="D117" s="22"/>
      <c r="E117" s="23"/>
      <c r="F117" s="24"/>
      <c r="G117" s="25"/>
      <c r="H117" s="25"/>
      <c r="I117" s="25"/>
      <c r="J117" s="25"/>
      <c r="K117" s="25"/>
      <c r="L117" s="26"/>
    </row>
    <row r="118" spans="2:14" ht="15.6" thickBot="1" x14ac:dyDescent="0.3">
      <c r="B118" s="112"/>
      <c r="C118" s="109"/>
      <c r="D118" s="27"/>
      <c r="E118" s="28"/>
      <c r="F118" s="29"/>
      <c r="L118" s="30"/>
    </row>
    <row r="119" spans="2:14" ht="16.2" thickBot="1" x14ac:dyDescent="0.35">
      <c r="B119" s="112"/>
      <c r="C119" s="109"/>
      <c r="D119" s="27"/>
      <c r="E119" s="31"/>
      <c r="F119" s="32" t="s">
        <v>0</v>
      </c>
      <c r="G119" s="33"/>
      <c r="H119" s="3" t="s">
        <v>2</v>
      </c>
      <c r="I119" s="33"/>
      <c r="J119" s="34" t="s">
        <v>3</v>
      </c>
      <c r="K119" s="33"/>
      <c r="L119" s="35" t="s">
        <v>4</v>
      </c>
      <c r="M119" s="2" t="str">
        <f>IF(E119="X","",IF(G119="X","",IF(I119="X","",IF(K119="X","","Elegir opción"))))</f>
        <v>Elegir opción</v>
      </c>
      <c r="N119" s="28" t="str">
        <f>IF(E119="X",3,IF(G119="X",2,IF(I119="X",1,IF(K119="X",0,"Promedio"))))</f>
        <v>Promedio</v>
      </c>
    </row>
    <row r="120" spans="2:14" x14ac:dyDescent="0.25">
      <c r="B120" s="112"/>
      <c r="C120" s="109"/>
      <c r="D120" s="36"/>
      <c r="L120" s="30"/>
    </row>
    <row r="121" spans="2:14" x14ac:dyDescent="0.25">
      <c r="B121" s="112"/>
      <c r="C121" s="109"/>
      <c r="D121" s="36"/>
      <c r="L121" s="30"/>
    </row>
    <row r="122" spans="2:14" ht="15.6" thickBot="1" x14ac:dyDescent="0.3">
      <c r="B122" s="113"/>
      <c r="C122" s="110"/>
      <c r="D122" s="37"/>
      <c r="E122" s="38"/>
      <c r="F122" s="38"/>
      <c r="G122" s="38"/>
      <c r="H122" s="38"/>
      <c r="I122" s="38"/>
      <c r="J122" s="38"/>
      <c r="K122" s="38"/>
      <c r="L122" s="39"/>
    </row>
    <row r="123" spans="2:14" ht="8.25" customHeight="1" thickBot="1" x14ac:dyDescent="0.3"/>
    <row r="124" spans="2:14" x14ac:dyDescent="0.25">
      <c r="B124" s="111" t="s">
        <v>59</v>
      </c>
      <c r="C124" s="108" t="s">
        <v>60</v>
      </c>
      <c r="D124" s="22"/>
      <c r="E124" s="23"/>
      <c r="F124" s="24"/>
      <c r="G124" s="25"/>
      <c r="H124" s="25"/>
      <c r="I124" s="25"/>
      <c r="J124" s="25"/>
      <c r="K124" s="25"/>
      <c r="L124" s="26"/>
    </row>
    <row r="125" spans="2:14" ht="15.6" thickBot="1" x14ac:dyDescent="0.3">
      <c r="B125" s="112"/>
      <c r="C125" s="109"/>
      <c r="D125" s="27"/>
      <c r="E125" s="28"/>
      <c r="F125" s="29"/>
      <c r="L125" s="30"/>
    </row>
    <row r="126" spans="2:14" ht="16.2" thickBot="1" x14ac:dyDescent="0.35">
      <c r="B126" s="112"/>
      <c r="C126" s="109"/>
      <c r="D126" s="27"/>
      <c r="E126" s="31"/>
      <c r="F126" s="32" t="s">
        <v>0</v>
      </c>
      <c r="G126" s="33"/>
      <c r="H126" s="3" t="s">
        <v>2</v>
      </c>
      <c r="I126" s="33"/>
      <c r="J126" s="34" t="s">
        <v>3</v>
      </c>
      <c r="K126" s="33"/>
      <c r="L126" s="35" t="s">
        <v>4</v>
      </c>
      <c r="M126" s="2" t="str">
        <f>IF(E126="X","",IF(G126="X","",IF(I126="X","",IF(K126="X","","Elegir opción"))))</f>
        <v>Elegir opción</v>
      </c>
      <c r="N126" s="28" t="str">
        <f>IF(E126="X",3,IF(G126="X",2,IF(I126="X",1,IF(K126="X",0,"Promedio"))))</f>
        <v>Promedio</v>
      </c>
    </row>
    <row r="127" spans="2:14" x14ac:dyDescent="0.25">
      <c r="B127" s="112"/>
      <c r="C127" s="109"/>
      <c r="D127" s="36"/>
      <c r="L127" s="30"/>
    </row>
    <row r="128" spans="2:14" x14ac:dyDescent="0.25">
      <c r="B128" s="112"/>
      <c r="C128" s="109"/>
      <c r="D128" s="36"/>
      <c r="L128" s="30"/>
    </row>
    <row r="129" spans="2:14" ht="15.6" thickBot="1" x14ac:dyDescent="0.3">
      <c r="B129" s="113"/>
      <c r="C129" s="110"/>
      <c r="D129" s="37"/>
      <c r="E129" s="38"/>
      <c r="F129" s="38"/>
      <c r="G129" s="38"/>
      <c r="H129" s="38"/>
      <c r="I129" s="38"/>
      <c r="J129" s="38"/>
      <c r="K129" s="38"/>
      <c r="L129" s="39"/>
    </row>
    <row r="130" spans="2:14" ht="8.25" customHeight="1" thickBot="1" x14ac:dyDescent="0.3"/>
    <row r="131" spans="2:14" x14ac:dyDescent="0.25">
      <c r="B131" s="111" t="s">
        <v>63</v>
      </c>
      <c r="C131" s="108" t="s">
        <v>61</v>
      </c>
      <c r="D131" s="22"/>
      <c r="E131" s="23"/>
      <c r="F131" s="24"/>
      <c r="G131" s="25"/>
      <c r="H131" s="25"/>
      <c r="I131" s="25"/>
      <c r="J131" s="25"/>
      <c r="K131" s="25"/>
      <c r="L131" s="26"/>
    </row>
    <row r="132" spans="2:14" ht="15.6" thickBot="1" x14ac:dyDescent="0.3">
      <c r="B132" s="112"/>
      <c r="C132" s="109"/>
      <c r="D132" s="27"/>
      <c r="E132" s="28"/>
      <c r="F132" s="29"/>
      <c r="L132" s="30"/>
    </row>
    <row r="133" spans="2:14" ht="16.2" thickBot="1" x14ac:dyDescent="0.35">
      <c r="B133" s="112"/>
      <c r="C133" s="109"/>
      <c r="D133" s="27"/>
      <c r="E133" s="31"/>
      <c r="F133" s="32" t="s">
        <v>0</v>
      </c>
      <c r="G133" s="33"/>
      <c r="H133" s="3" t="s">
        <v>2</v>
      </c>
      <c r="I133" s="33"/>
      <c r="J133" s="34" t="s">
        <v>3</v>
      </c>
      <c r="K133" s="33"/>
      <c r="L133" s="35" t="s">
        <v>4</v>
      </c>
      <c r="M133" s="2" t="str">
        <f>IF(E133="X","",IF(G133="X","",IF(I133="X","",IF(K133="X","","Elegir opción"))))</f>
        <v>Elegir opción</v>
      </c>
      <c r="N133" s="28" t="str">
        <f>IF(E133="X",3,IF(G133="X",2,IF(I133="X",1,IF(K133="X",0,"Promedio"))))</f>
        <v>Promedio</v>
      </c>
    </row>
    <row r="134" spans="2:14" x14ac:dyDescent="0.25">
      <c r="B134" s="112"/>
      <c r="C134" s="109"/>
      <c r="D134" s="36"/>
      <c r="L134" s="30"/>
    </row>
    <row r="135" spans="2:14" x14ac:dyDescent="0.25">
      <c r="B135" s="112"/>
      <c r="C135" s="109"/>
      <c r="D135" s="36"/>
      <c r="L135" s="30"/>
    </row>
    <row r="136" spans="2:14" ht="15.6" thickBot="1" x14ac:dyDescent="0.3">
      <c r="B136" s="113"/>
      <c r="C136" s="110"/>
      <c r="D136" s="37"/>
      <c r="E136" s="38"/>
      <c r="F136" s="38"/>
      <c r="G136" s="38"/>
      <c r="H136" s="38"/>
      <c r="I136" s="38"/>
      <c r="J136" s="38"/>
      <c r="K136" s="38"/>
      <c r="L136" s="39"/>
    </row>
    <row r="137" spans="2:14" ht="8.25" customHeight="1" thickBot="1" x14ac:dyDescent="0.3"/>
    <row r="138" spans="2:14" x14ac:dyDescent="0.25">
      <c r="B138" s="111" t="s">
        <v>64</v>
      </c>
      <c r="C138" s="108" t="s">
        <v>62</v>
      </c>
      <c r="D138" s="22"/>
      <c r="E138" s="23"/>
      <c r="F138" s="24"/>
      <c r="G138" s="25"/>
      <c r="H138" s="25"/>
      <c r="I138" s="25"/>
      <c r="J138" s="25"/>
      <c r="K138" s="25"/>
      <c r="L138" s="26"/>
    </row>
    <row r="139" spans="2:14" ht="15.6" thickBot="1" x14ac:dyDescent="0.3">
      <c r="B139" s="112"/>
      <c r="C139" s="109"/>
      <c r="D139" s="27"/>
      <c r="E139" s="28"/>
      <c r="F139" s="29"/>
      <c r="L139" s="30"/>
    </row>
    <row r="140" spans="2:14" ht="16.2" thickBot="1" x14ac:dyDescent="0.35">
      <c r="B140" s="112"/>
      <c r="C140" s="109"/>
      <c r="D140" s="27"/>
      <c r="E140" s="31"/>
      <c r="F140" s="32" t="s">
        <v>0</v>
      </c>
      <c r="G140" s="33"/>
      <c r="H140" s="3" t="s">
        <v>2</v>
      </c>
      <c r="I140" s="33"/>
      <c r="J140" s="34" t="s">
        <v>3</v>
      </c>
      <c r="K140" s="33"/>
      <c r="L140" s="35" t="s">
        <v>4</v>
      </c>
      <c r="M140" s="2" t="str">
        <f>IF(E140="X","",IF(G140="X","",IF(I140="X","",IF(K140="X","","Elegir opción"))))</f>
        <v>Elegir opción</v>
      </c>
      <c r="N140" s="28" t="str">
        <f>IF(E140="X",3,IF(G140="X",2,IF(I140="X",1,IF(K140="X",0,"Promedio"))))</f>
        <v>Promedio</v>
      </c>
    </row>
    <row r="141" spans="2:14" x14ac:dyDescent="0.25">
      <c r="B141" s="112"/>
      <c r="C141" s="109"/>
      <c r="D141" s="36"/>
      <c r="L141" s="30"/>
    </row>
    <row r="142" spans="2:14" x14ac:dyDescent="0.25">
      <c r="B142" s="112"/>
      <c r="C142" s="109"/>
      <c r="D142" s="36"/>
      <c r="L142" s="30"/>
    </row>
    <row r="143" spans="2:14" ht="15.6" thickBot="1" x14ac:dyDescent="0.3">
      <c r="B143" s="113"/>
      <c r="C143" s="110"/>
      <c r="D143" s="37"/>
      <c r="E143" s="38"/>
      <c r="F143" s="38"/>
      <c r="G143" s="38"/>
      <c r="H143" s="38"/>
      <c r="I143" s="38"/>
      <c r="J143" s="38"/>
      <c r="K143" s="38"/>
      <c r="L143" s="39"/>
    </row>
    <row r="144" spans="2:14" ht="8.25" customHeight="1" thickBot="1" x14ac:dyDescent="0.3"/>
    <row r="145" spans="2:14" x14ac:dyDescent="0.25">
      <c r="B145" s="111" t="s">
        <v>66</v>
      </c>
      <c r="C145" s="108" t="s">
        <v>65</v>
      </c>
      <c r="D145" s="22"/>
      <c r="E145" s="23"/>
      <c r="F145" s="24"/>
      <c r="G145" s="25"/>
      <c r="H145" s="25"/>
      <c r="I145" s="25"/>
      <c r="J145" s="25"/>
      <c r="K145" s="25"/>
      <c r="L145" s="26"/>
    </row>
    <row r="146" spans="2:14" ht="15.6" thickBot="1" x14ac:dyDescent="0.3">
      <c r="B146" s="112"/>
      <c r="C146" s="109"/>
      <c r="D146" s="27"/>
      <c r="E146" s="28"/>
      <c r="F146" s="29"/>
      <c r="L146" s="30"/>
    </row>
    <row r="147" spans="2:14" ht="16.2" thickBot="1" x14ac:dyDescent="0.35">
      <c r="B147" s="112"/>
      <c r="C147" s="109"/>
      <c r="D147" s="27"/>
      <c r="E147" s="31"/>
      <c r="F147" s="32" t="s">
        <v>0</v>
      </c>
      <c r="G147" s="33"/>
      <c r="H147" s="3" t="s">
        <v>2</v>
      </c>
      <c r="I147" s="33"/>
      <c r="J147" s="34" t="s">
        <v>3</v>
      </c>
      <c r="K147" s="33"/>
      <c r="L147" s="35" t="s">
        <v>4</v>
      </c>
      <c r="M147" s="2" t="str">
        <f>IF(E147="X","",IF(G147="X","",IF(I147="X","",IF(K147="X","","Elegir opción"))))</f>
        <v>Elegir opción</v>
      </c>
      <c r="N147" s="28" t="str">
        <f>IF(E147="X",3,IF(G147="X",2,IF(I147="X",1,IF(K147="X",0,"Promedio"))))</f>
        <v>Promedio</v>
      </c>
    </row>
    <row r="148" spans="2:14" x14ac:dyDescent="0.25">
      <c r="B148" s="112"/>
      <c r="C148" s="109"/>
      <c r="D148" s="36"/>
      <c r="L148" s="30"/>
    </row>
    <row r="149" spans="2:14" x14ac:dyDescent="0.25">
      <c r="B149" s="112"/>
      <c r="C149" s="109"/>
      <c r="D149" s="36"/>
      <c r="L149" s="30"/>
    </row>
    <row r="150" spans="2:14" ht="15.6" thickBot="1" x14ac:dyDescent="0.3">
      <c r="B150" s="113"/>
      <c r="C150" s="110"/>
      <c r="D150" s="37"/>
      <c r="E150" s="38"/>
      <c r="F150" s="38"/>
      <c r="G150" s="38"/>
      <c r="H150" s="38"/>
      <c r="I150" s="38"/>
      <c r="J150" s="38"/>
      <c r="K150" s="38"/>
      <c r="L150" s="39"/>
    </row>
    <row r="151" spans="2:14" ht="8.25" customHeight="1" thickBot="1" x14ac:dyDescent="0.3"/>
    <row r="152" spans="2:14" x14ac:dyDescent="0.25">
      <c r="B152" s="111" t="s">
        <v>68</v>
      </c>
      <c r="C152" s="108" t="s">
        <v>67</v>
      </c>
      <c r="D152" s="22"/>
      <c r="E152" s="23"/>
      <c r="F152" s="24"/>
      <c r="G152" s="25"/>
      <c r="H152" s="25"/>
      <c r="I152" s="25"/>
      <c r="J152" s="25"/>
      <c r="K152" s="25"/>
      <c r="L152" s="26"/>
    </row>
    <row r="153" spans="2:14" ht="10.5" customHeight="1" thickBot="1" x14ac:dyDescent="0.3">
      <c r="B153" s="112"/>
      <c r="C153" s="109"/>
      <c r="D153" s="27"/>
      <c r="E153" s="28"/>
      <c r="F153" s="29"/>
      <c r="L153" s="30"/>
    </row>
    <row r="154" spans="2:14" ht="16.5" customHeight="1" thickBot="1" x14ac:dyDescent="0.35">
      <c r="B154" s="112"/>
      <c r="C154" s="109"/>
      <c r="D154" s="27"/>
      <c r="E154" s="31"/>
      <c r="F154" s="32" t="s">
        <v>0</v>
      </c>
      <c r="G154" s="33"/>
      <c r="H154" s="3" t="s">
        <v>2</v>
      </c>
      <c r="I154" s="33"/>
      <c r="J154" s="34" t="s">
        <v>3</v>
      </c>
      <c r="K154" s="33"/>
      <c r="L154" s="35" t="s">
        <v>4</v>
      </c>
      <c r="M154" s="2" t="str">
        <f>IF(E154="X","",IF(G154="X","",IF(I154="X","",IF(K154="X","","Elegir opción"))))</f>
        <v>Elegir opción</v>
      </c>
      <c r="N154" s="28" t="str">
        <f>IF(E154="X",3,IF(G154="X",2,IF(I154="X",1,IF(K154="X",0,"Promedio"))))</f>
        <v>Promedio</v>
      </c>
    </row>
    <row r="155" spans="2:14" x14ac:dyDescent="0.25">
      <c r="B155" s="112"/>
      <c r="C155" s="109"/>
      <c r="D155" s="36"/>
      <c r="L155" s="30"/>
    </row>
    <row r="156" spans="2:14" ht="21" customHeight="1" x14ac:dyDescent="0.25">
      <c r="B156" s="112"/>
      <c r="C156" s="109"/>
      <c r="D156" s="36"/>
      <c r="L156" s="30"/>
    </row>
    <row r="157" spans="2:14" ht="15.6" thickBot="1" x14ac:dyDescent="0.3">
      <c r="B157" s="113"/>
      <c r="C157" s="110"/>
      <c r="D157" s="37"/>
      <c r="E157" s="38"/>
      <c r="F157" s="38"/>
      <c r="G157" s="38"/>
      <c r="H157" s="38"/>
      <c r="I157" s="38"/>
      <c r="J157" s="38"/>
      <c r="K157" s="38"/>
      <c r="L157" s="39"/>
    </row>
    <row r="158" spans="2:14" x14ac:dyDescent="0.25">
      <c r="C158" s="41"/>
    </row>
    <row r="159" spans="2:14" ht="15.6" x14ac:dyDescent="0.3">
      <c r="E159" s="3"/>
      <c r="F159" s="3"/>
      <c r="G159" s="3"/>
      <c r="H159" s="3"/>
      <c r="I159" s="3"/>
      <c r="J159" s="3"/>
      <c r="K159" s="3"/>
    </row>
    <row r="160" spans="2:14" ht="15" customHeight="1" x14ac:dyDescent="0.3">
      <c r="B160" s="3" t="s">
        <v>9</v>
      </c>
    </row>
    <row r="161" spans="2:14" ht="15" customHeight="1" thickBot="1" x14ac:dyDescent="0.3"/>
    <row r="162" spans="2:14" x14ac:dyDescent="0.25">
      <c r="B162" s="111" t="s">
        <v>70</v>
      </c>
      <c r="C162" s="108" t="s">
        <v>69</v>
      </c>
      <c r="D162" s="22"/>
      <c r="E162" s="23"/>
      <c r="F162" s="24"/>
      <c r="G162" s="25"/>
      <c r="H162" s="25"/>
      <c r="I162" s="25"/>
      <c r="J162" s="25"/>
      <c r="K162" s="25"/>
      <c r="L162" s="26"/>
    </row>
    <row r="163" spans="2:14" ht="26.25" customHeight="1" thickBot="1" x14ac:dyDescent="0.3">
      <c r="B163" s="112"/>
      <c r="C163" s="109"/>
      <c r="D163" s="27"/>
      <c r="E163" s="28"/>
      <c r="F163" s="29"/>
      <c r="L163" s="30"/>
    </row>
    <row r="164" spans="2:14" ht="15" customHeight="1" thickBot="1" x14ac:dyDescent="0.35">
      <c r="B164" s="112"/>
      <c r="C164" s="109"/>
      <c r="D164" s="27"/>
      <c r="E164" s="31"/>
      <c r="F164" s="32" t="s">
        <v>0</v>
      </c>
      <c r="G164" s="33"/>
      <c r="H164" s="3" t="s">
        <v>2</v>
      </c>
      <c r="I164" s="33"/>
      <c r="J164" s="34" t="s">
        <v>3</v>
      </c>
      <c r="K164" s="33"/>
      <c r="L164" s="35" t="s">
        <v>4</v>
      </c>
      <c r="M164" s="2" t="str">
        <f>IF(E164="X","",IF(G164="X","",IF(I164="X","",IF(K164="X","","Elegir opción"))))</f>
        <v>Elegir opción</v>
      </c>
      <c r="N164" s="28" t="str">
        <f>IF(E164="X",3,IF(G164="X",2,IF(I164="X",1,IF(K164="X",0,"Promedio"))))</f>
        <v>Promedio</v>
      </c>
    </row>
    <row r="165" spans="2:14" ht="24" customHeight="1" x14ac:dyDescent="0.25">
      <c r="B165" s="112"/>
      <c r="C165" s="109"/>
      <c r="D165" s="36"/>
      <c r="L165" s="30"/>
    </row>
    <row r="166" spans="2:14" x14ac:dyDescent="0.25">
      <c r="B166" s="112"/>
      <c r="C166" s="109"/>
      <c r="D166" s="36"/>
      <c r="L166" s="30"/>
    </row>
    <row r="167" spans="2:14" ht="15.6" thickBot="1" x14ac:dyDescent="0.3">
      <c r="B167" s="113"/>
      <c r="C167" s="110"/>
      <c r="D167" s="37"/>
      <c r="E167" s="38"/>
      <c r="F167" s="38"/>
      <c r="G167" s="38"/>
      <c r="H167" s="38"/>
      <c r="I167" s="38"/>
      <c r="J167" s="38"/>
      <c r="K167" s="38"/>
      <c r="L167" s="39"/>
    </row>
    <row r="168" spans="2:14" ht="8.25" customHeight="1" thickBot="1" x14ac:dyDescent="0.3"/>
    <row r="169" spans="2:14" x14ac:dyDescent="0.25">
      <c r="B169" s="111" t="s">
        <v>72</v>
      </c>
      <c r="C169" s="108" t="s">
        <v>71</v>
      </c>
      <c r="D169" s="22"/>
      <c r="E169" s="23"/>
      <c r="F169" s="24"/>
      <c r="G169" s="25"/>
      <c r="H169" s="25"/>
      <c r="I169" s="25"/>
      <c r="J169" s="25"/>
      <c r="K169" s="25"/>
      <c r="L169" s="26"/>
    </row>
    <row r="170" spans="2:14" ht="25.5" customHeight="1" thickBot="1" x14ac:dyDescent="0.3">
      <c r="B170" s="112"/>
      <c r="C170" s="109"/>
      <c r="D170" s="27"/>
      <c r="E170" s="28"/>
      <c r="F170" s="29"/>
      <c r="L170" s="30"/>
    </row>
    <row r="171" spans="2:14" ht="15.75" customHeight="1" thickBot="1" x14ac:dyDescent="0.35">
      <c r="B171" s="112"/>
      <c r="C171" s="109"/>
      <c r="D171" s="27"/>
      <c r="E171" s="31"/>
      <c r="F171" s="32" t="s">
        <v>0</v>
      </c>
      <c r="G171" s="33"/>
      <c r="H171" s="3" t="s">
        <v>2</v>
      </c>
      <c r="I171" s="33"/>
      <c r="J171" s="34" t="s">
        <v>3</v>
      </c>
      <c r="K171" s="33"/>
      <c r="L171" s="35" t="s">
        <v>4</v>
      </c>
      <c r="M171" s="2" t="str">
        <f>IF(E171="X","",IF(G171="X","",IF(I171="X","",IF(K171="X","","Elegir opción"))))</f>
        <v>Elegir opción</v>
      </c>
      <c r="N171" s="28" t="str">
        <f>IF(E171="X",3,IF(G171="X",2,IF(I171="X",1,IF(K171="X",0,"Promedio"))))</f>
        <v>Promedio</v>
      </c>
    </row>
    <row r="172" spans="2:14" x14ac:dyDescent="0.25">
      <c r="B172" s="112"/>
      <c r="C172" s="109"/>
      <c r="D172" s="36"/>
      <c r="L172" s="30"/>
    </row>
    <row r="173" spans="2:14" ht="38.25" customHeight="1" x14ac:dyDescent="0.25">
      <c r="B173" s="112"/>
      <c r="C173" s="109"/>
      <c r="D173" s="36"/>
      <c r="L173" s="30"/>
    </row>
    <row r="174" spans="2:14" ht="15.6" thickBot="1" x14ac:dyDescent="0.3">
      <c r="B174" s="113"/>
      <c r="C174" s="110"/>
      <c r="D174" s="37"/>
      <c r="E174" s="38"/>
      <c r="F174" s="38"/>
      <c r="G174" s="38"/>
      <c r="H174" s="38"/>
      <c r="I174" s="38"/>
      <c r="J174" s="38"/>
      <c r="K174" s="38"/>
      <c r="L174" s="39"/>
    </row>
    <row r="175" spans="2:14" x14ac:dyDescent="0.25">
      <c r="B175" s="40"/>
      <c r="C175" s="41"/>
    </row>
    <row r="176" spans="2:14" ht="15.6" x14ac:dyDescent="0.3">
      <c r="E176" s="3"/>
      <c r="F176" s="3"/>
      <c r="G176" s="3"/>
      <c r="H176" s="3"/>
      <c r="I176" s="3"/>
      <c r="J176" s="3"/>
      <c r="K176" s="3"/>
    </row>
    <row r="177" spans="2:14" ht="15.6" x14ac:dyDescent="0.3">
      <c r="B177" s="3" t="s">
        <v>10</v>
      </c>
    </row>
    <row r="178" spans="2:14" ht="15.6" thickBot="1" x14ac:dyDescent="0.3"/>
    <row r="179" spans="2:14" x14ac:dyDescent="0.25">
      <c r="B179" s="111" t="s">
        <v>73</v>
      </c>
      <c r="C179" s="108" t="s">
        <v>445</v>
      </c>
      <c r="D179" s="22"/>
      <c r="E179" s="23"/>
      <c r="F179" s="24"/>
      <c r="G179" s="25"/>
      <c r="H179" s="25"/>
      <c r="I179" s="25"/>
      <c r="J179" s="25"/>
      <c r="K179" s="25"/>
      <c r="L179" s="26"/>
    </row>
    <row r="180" spans="2:14" ht="15.6" thickBot="1" x14ac:dyDescent="0.3">
      <c r="B180" s="112"/>
      <c r="C180" s="109"/>
      <c r="D180" s="27"/>
      <c r="E180" s="28"/>
      <c r="F180" s="29"/>
      <c r="L180" s="30"/>
    </row>
    <row r="181" spans="2:14" ht="16.2" thickBot="1" x14ac:dyDescent="0.35">
      <c r="B181" s="112"/>
      <c r="C181" s="109"/>
      <c r="D181" s="27"/>
      <c r="E181" s="31"/>
      <c r="F181" s="32" t="s">
        <v>0</v>
      </c>
      <c r="G181" s="33"/>
      <c r="H181" s="3" t="s">
        <v>2</v>
      </c>
      <c r="I181" s="33"/>
      <c r="J181" s="34" t="s">
        <v>3</v>
      </c>
      <c r="K181" s="33"/>
      <c r="L181" s="35" t="s">
        <v>4</v>
      </c>
      <c r="M181" s="2" t="str">
        <f>IF(E181="X","",IF(G181="X","",IF(I181="X","",IF(K181="X","","Elegir opción"))))</f>
        <v>Elegir opción</v>
      </c>
      <c r="N181" s="28" t="str">
        <f>IF(E181="X",3,IF(G181="X",2,IF(I181="X",1,IF(K181="X",0,"Promedio"))))</f>
        <v>Promedio</v>
      </c>
    </row>
    <row r="182" spans="2:14" x14ac:dyDescent="0.25">
      <c r="B182" s="112"/>
      <c r="C182" s="109"/>
      <c r="D182" s="36"/>
      <c r="L182" s="30"/>
    </row>
    <row r="183" spans="2:14" x14ac:dyDescent="0.25">
      <c r="B183" s="112"/>
      <c r="C183" s="109"/>
      <c r="D183" s="36"/>
      <c r="L183" s="30"/>
    </row>
    <row r="184" spans="2:14" ht="15.6" thickBot="1" x14ac:dyDescent="0.3">
      <c r="B184" s="113"/>
      <c r="C184" s="110"/>
      <c r="D184" s="37"/>
      <c r="E184" s="38"/>
      <c r="F184" s="38"/>
      <c r="G184" s="38"/>
      <c r="H184" s="38"/>
      <c r="I184" s="38"/>
      <c r="J184" s="38"/>
      <c r="K184" s="38"/>
      <c r="L184" s="39"/>
    </row>
    <row r="185" spans="2:14" ht="8.25" customHeight="1" thickBot="1" x14ac:dyDescent="0.3"/>
    <row r="186" spans="2:14" x14ac:dyDescent="0.25">
      <c r="B186" s="111" t="s">
        <v>74</v>
      </c>
      <c r="C186" s="108" t="s">
        <v>446</v>
      </c>
      <c r="D186" s="22"/>
      <c r="E186" s="23"/>
      <c r="F186" s="24"/>
      <c r="G186" s="25"/>
      <c r="H186" s="25"/>
      <c r="I186" s="25"/>
      <c r="J186" s="25"/>
      <c r="K186" s="25"/>
      <c r="L186" s="26"/>
    </row>
    <row r="187" spans="2:14" ht="15.6" thickBot="1" x14ac:dyDescent="0.3">
      <c r="B187" s="112"/>
      <c r="C187" s="109"/>
      <c r="D187" s="27"/>
      <c r="E187" s="28"/>
      <c r="F187" s="29"/>
      <c r="L187" s="30"/>
    </row>
    <row r="188" spans="2:14" ht="16.2" thickBot="1" x14ac:dyDescent="0.35">
      <c r="B188" s="112"/>
      <c r="C188" s="109"/>
      <c r="D188" s="27"/>
      <c r="E188" s="31"/>
      <c r="F188" s="32" t="s">
        <v>0</v>
      </c>
      <c r="G188" s="33"/>
      <c r="H188" s="3" t="s">
        <v>2</v>
      </c>
      <c r="I188" s="33"/>
      <c r="J188" s="34" t="s">
        <v>3</v>
      </c>
      <c r="K188" s="33"/>
      <c r="L188" s="35" t="s">
        <v>4</v>
      </c>
      <c r="M188" s="2" t="str">
        <f>IF(E188="X","",IF(G188="X","",IF(I188="X","",IF(K188="X","","Elegir opción"))))</f>
        <v>Elegir opción</v>
      </c>
      <c r="N188" s="28" t="str">
        <f>IF(E188="X",3,IF(G188="X",2,IF(I188="X",1,IF(K188="X",0,"Promedio"))))</f>
        <v>Promedio</v>
      </c>
    </row>
    <row r="189" spans="2:14" ht="24.75" customHeight="1" x14ac:dyDescent="0.25">
      <c r="B189" s="112"/>
      <c r="C189" s="109"/>
      <c r="D189" s="36"/>
      <c r="L189" s="30"/>
    </row>
    <row r="190" spans="2:14" x14ac:dyDescent="0.25">
      <c r="B190" s="112"/>
      <c r="C190" s="109"/>
      <c r="D190" s="36"/>
      <c r="L190" s="30"/>
    </row>
    <row r="191" spans="2:14" ht="15.6" thickBot="1" x14ac:dyDescent="0.3">
      <c r="B191" s="113"/>
      <c r="C191" s="110"/>
      <c r="D191" s="37"/>
      <c r="E191" s="38"/>
      <c r="F191" s="38"/>
      <c r="G191" s="38"/>
      <c r="H191" s="38"/>
      <c r="I191" s="38"/>
      <c r="J191" s="38"/>
      <c r="K191" s="38"/>
      <c r="L191" s="39"/>
    </row>
    <row r="192" spans="2:14" ht="8.25" customHeight="1" thickBot="1" x14ac:dyDescent="0.3"/>
    <row r="193" spans="2:14" x14ac:dyDescent="0.25">
      <c r="B193" s="111" t="s">
        <v>75</v>
      </c>
      <c r="C193" s="108" t="s">
        <v>448</v>
      </c>
      <c r="D193" s="22"/>
      <c r="E193" s="23"/>
      <c r="F193" s="24"/>
      <c r="G193" s="25"/>
      <c r="H193" s="25"/>
      <c r="I193" s="25"/>
      <c r="J193" s="25"/>
      <c r="K193" s="25"/>
      <c r="L193" s="26"/>
    </row>
    <row r="194" spans="2:14" ht="15.6" thickBot="1" x14ac:dyDescent="0.3">
      <c r="B194" s="112"/>
      <c r="C194" s="109"/>
      <c r="D194" s="27"/>
      <c r="E194" s="28"/>
      <c r="F194" s="29"/>
      <c r="L194" s="30"/>
    </row>
    <row r="195" spans="2:14" ht="16.2" thickBot="1" x14ac:dyDescent="0.35">
      <c r="B195" s="112"/>
      <c r="C195" s="109"/>
      <c r="D195" s="27"/>
      <c r="E195" s="31"/>
      <c r="F195" s="32" t="s">
        <v>0</v>
      </c>
      <c r="G195" s="33"/>
      <c r="H195" s="3" t="s">
        <v>2</v>
      </c>
      <c r="I195" s="33"/>
      <c r="J195" s="34" t="s">
        <v>3</v>
      </c>
      <c r="K195" s="33"/>
      <c r="L195" s="35" t="s">
        <v>4</v>
      </c>
      <c r="M195" s="2" t="str">
        <f>IF(E195="X","",IF(G195="X","",IF(I195="X","",IF(K195="X","","Elegir opción"))))</f>
        <v>Elegir opción</v>
      </c>
      <c r="N195" s="28" t="str">
        <f>IF(E195="X",3,IF(G195="X",2,IF(I195="X",1,IF(K195="X",0,"Promedio"))))</f>
        <v>Promedio</v>
      </c>
    </row>
    <row r="196" spans="2:14" x14ac:dyDescent="0.25">
      <c r="B196" s="112"/>
      <c r="C196" s="109"/>
      <c r="D196" s="36"/>
      <c r="L196" s="30"/>
    </row>
    <row r="197" spans="2:14" x14ac:dyDescent="0.25">
      <c r="B197" s="112"/>
      <c r="C197" s="109"/>
      <c r="D197" s="36"/>
      <c r="L197" s="30"/>
    </row>
    <row r="198" spans="2:14" ht="15.6" thickBot="1" x14ac:dyDescent="0.3">
      <c r="B198" s="113"/>
      <c r="C198" s="110"/>
      <c r="D198" s="37"/>
      <c r="E198" s="38"/>
      <c r="F198" s="38"/>
      <c r="G198" s="38"/>
      <c r="H198" s="38"/>
      <c r="I198" s="38"/>
      <c r="J198" s="38"/>
      <c r="K198" s="38"/>
      <c r="L198" s="39"/>
    </row>
    <row r="200" spans="2:14" ht="15.6" x14ac:dyDescent="0.3">
      <c r="E200" s="3"/>
      <c r="F200" s="3"/>
      <c r="G200" s="3"/>
      <c r="H200" s="3"/>
      <c r="I200" s="3"/>
      <c r="J200" s="3"/>
      <c r="K200" s="3"/>
    </row>
    <row r="201" spans="2:14" ht="15.6" x14ac:dyDescent="0.3">
      <c r="B201" s="3" t="s">
        <v>11</v>
      </c>
    </row>
    <row r="202" spans="2:14" ht="15.6" thickBot="1" x14ac:dyDescent="0.3"/>
    <row r="203" spans="2:14" x14ac:dyDescent="0.25">
      <c r="B203" s="111" t="s">
        <v>76</v>
      </c>
      <c r="C203" s="108" t="s">
        <v>447</v>
      </c>
      <c r="D203" s="22"/>
      <c r="E203" s="23"/>
      <c r="F203" s="24"/>
      <c r="G203" s="25"/>
      <c r="H203" s="25"/>
      <c r="I203" s="25"/>
      <c r="J203" s="25"/>
      <c r="K203" s="25"/>
      <c r="L203" s="26"/>
    </row>
    <row r="204" spans="2:14" ht="15.6" thickBot="1" x14ac:dyDescent="0.3">
      <c r="B204" s="112"/>
      <c r="C204" s="109"/>
      <c r="D204" s="27"/>
      <c r="E204" s="28"/>
      <c r="F204" s="29"/>
      <c r="L204" s="30"/>
    </row>
    <row r="205" spans="2:14" ht="16.2" thickBot="1" x14ac:dyDescent="0.35">
      <c r="B205" s="112"/>
      <c r="C205" s="109"/>
      <c r="D205" s="27"/>
      <c r="E205" s="31"/>
      <c r="F205" s="32" t="s">
        <v>0</v>
      </c>
      <c r="G205" s="33"/>
      <c r="H205" s="3" t="s">
        <v>2</v>
      </c>
      <c r="I205" s="33"/>
      <c r="J205" s="34" t="s">
        <v>3</v>
      </c>
      <c r="K205" s="33"/>
      <c r="L205" s="35" t="s">
        <v>4</v>
      </c>
      <c r="M205" s="2" t="str">
        <f>IF(E205="X","",IF(G205="X","",IF(I205="X","",IF(K205="X","","Elegir opción"))))</f>
        <v>Elegir opción</v>
      </c>
      <c r="N205" s="28" t="str">
        <f>IF(E205="X",3,IF(G205="X",2,IF(I205="X",1,IF(K205="X",0,"Promedio"))))</f>
        <v>Promedio</v>
      </c>
    </row>
    <row r="206" spans="2:14" x14ac:dyDescent="0.25">
      <c r="B206" s="112"/>
      <c r="C206" s="109"/>
      <c r="D206" s="36"/>
      <c r="L206" s="30"/>
    </row>
    <row r="207" spans="2:14" ht="39.75" customHeight="1" x14ac:dyDescent="0.25">
      <c r="B207" s="112"/>
      <c r="C207" s="109"/>
      <c r="D207" s="36"/>
      <c r="L207" s="30"/>
    </row>
    <row r="208" spans="2:14" ht="15.6" thickBot="1" x14ac:dyDescent="0.3">
      <c r="B208" s="113"/>
      <c r="C208" s="110"/>
      <c r="D208" s="37"/>
      <c r="E208" s="38"/>
      <c r="F208" s="38"/>
      <c r="G208" s="38"/>
      <c r="H208" s="38"/>
      <c r="I208" s="38"/>
      <c r="J208" s="38"/>
      <c r="K208" s="38"/>
      <c r="L208" s="39"/>
    </row>
  </sheetData>
  <sheetProtection selectLockedCells="1"/>
  <mergeCells count="53">
    <mergeCell ref="C203:C208"/>
    <mergeCell ref="B203:B208"/>
    <mergeCell ref="C179:C184"/>
    <mergeCell ref="B179:B184"/>
    <mergeCell ref="C186:C191"/>
    <mergeCell ref="B186:B191"/>
    <mergeCell ref="C193:C198"/>
    <mergeCell ref="B193:B198"/>
    <mergeCell ref="C169:C174"/>
    <mergeCell ref="B124:B129"/>
    <mergeCell ref="B131:B136"/>
    <mergeCell ref="B138:B143"/>
    <mergeCell ref="B145:B150"/>
    <mergeCell ref="B152:B157"/>
    <mergeCell ref="B162:B167"/>
    <mergeCell ref="B169:B174"/>
    <mergeCell ref="C131:C136"/>
    <mergeCell ref="C138:C143"/>
    <mergeCell ref="C145:C150"/>
    <mergeCell ref="C152:C157"/>
    <mergeCell ref="C162:C167"/>
    <mergeCell ref="C107:C112"/>
    <mergeCell ref="B107:B112"/>
    <mergeCell ref="C117:C122"/>
    <mergeCell ref="B117:B122"/>
    <mergeCell ref="C124:C129"/>
    <mergeCell ref="C93:C98"/>
    <mergeCell ref="B93:B98"/>
    <mergeCell ref="C100:C105"/>
    <mergeCell ref="B100:B105"/>
    <mergeCell ref="C76:C81"/>
    <mergeCell ref="B76:B81"/>
    <mergeCell ref="C86:C91"/>
    <mergeCell ref="B86:B91"/>
    <mergeCell ref="C69:C74"/>
    <mergeCell ref="B69:B74"/>
    <mergeCell ref="C24:C29"/>
    <mergeCell ref="B24:B29"/>
    <mergeCell ref="C31:C36"/>
    <mergeCell ref="B31:B36"/>
    <mergeCell ref="C38:C43"/>
    <mergeCell ref="B38:B43"/>
    <mergeCell ref="C45:C50"/>
    <mergeCell ref="B45:B50"/>
    <mergeCell ref="C52:C57"/>
    <mergeCell ref="B52:B57"/>
    <mergeCell ref="C59:C64"/>
    <mergeCell ref="B59:B64"/>
    <mergeCell ref="B2:N2"/>
    <mergeCell ref="C10:C15"/>
    <mergeCell ref="B10:B15"/>
    <mergeCell ref="C17:C22"/>
    <mergeCell ref="B17:B2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K45"/>
  <sheetViews>
    <sheetView showGridLines="0" topLeftCell="A13" workbookViewId="0">
      <selection activeCell="C19" sqref="C19"/>
    </sheetView>
  </sheetViews>
  <sheetFormatPr baseColWidth="10" defaultColWidth="11.44140625" defaultRowHeight="15" x14ac:dyDescent="0.25"/>
  <cols>
    <col min="1" max="2" width="11.44140625" style="2"/>
    <col min="3" max="3" width="24.5546875" style="2" bestFit="1" customWidth="1"/>
    <col min="4" max="4" width="11.44140625" style="2"/>
    <col min="5" max="5" width="22.44140625" style="2" customWidth="1"/>
    <col min="6" max="6" width="11.44140625" style="2"/>
    <col min="7" max="7" width="25.44140625" style="2" bestFit="1" customWidth="1"/>
    <col min="8" max="16384" width="11.44140625" style="2"/>
  </cols>
  <sheetData>
    <row r="2" spans="2:11" ht="17.399999999999999" x14ac:dyDescent="0.3">
      <c r="B2" s="114" t="s">
        <v>495</v>
      </c>
      <c r="C2" s="114"/>
      <c r="D2" s="114"/>
      <c r="E2" s="114"/>
      <c r="F2" s="114"/>
      <c r="G2" s="114"/>
      <c r="H2" s="114"/>
      <c r="I2" s="114"/>
      <c r="J2" s="114"/>
      <c r="K2" s="114"/>
    </row>
    <row r="3" spans="2:11" ht="18" thickBot="1" x14ac:dyDescent="0.35">
      <c r="B3" s="1"/>
    </row>
    <row r="4" spans="2:11" ht="15.6" x14ac:dyDescent="0.3">
      <c r="B4" s="53" t="s">
        <v>5</v>
      </c>
      <c r="C4" s="25"/>
      <c r="D4" s="25"/>
      <c r="E4" s="26"/>
    </row>
    <row r="5" spans="2:11" x14ac:dyDescent="0.25">
      <c r="B5" s="36" t="s">
        <v>450</v>
      </c>
      <c r="C5" s="2" t="s">
        <v>496</v>
      </c>
      <c r="E5" s="30"/>
    </row>
    <row r="6" spans="2:11" x14ac:dyDescent="0.25">
      <c r="B6" s="42">
        <v>1</v>
      </c>
      <c r="C6" s="8" t="str">
        <f>'DIAGNOSTICO ECONOMICO'!N12</f>
        <v>Promedio</v>
      </c>
      <c r="E6" s="30"/>
    </row>
    <row r="7" spans="2:11" x14ac:dyDescent="0.25">
      <c r="B7" s="42">
        <v>2</v>
      </c>
      <c r="C7" s="8" t="str">
        <f>'DIAGNOSTICO ECONOMICO'!N19</f>
        <v>Promedio</v>
      </c>
      <c r="E7" s="30"/>
    </row>
    <row r="8" spans="2:11" x14ac:dyDescent="0.25">
      <c r="B8" s="42">
        <v>3</v>
      </c>
      <c r="C8" s="8" t="str">
        <f>'DIAGNOSTICO ECONOMICO'!N26</f>
        <v>Promedio</v>
      </c>
      <c r="E8" s="30"/>
    </row>
    <row r="9" spans="2:11" x14ac:dyDescent="0.25">
      <c r="B9" s="42">
        <v>4</v>
      </c>
      <c r="C9" s="8" t="str">
        <f>'DIAGNOSTICO ECONOMICO'!N33</f>
        <v>Promedio</v>
      </c>
      <c r="E9" s="30"/>
    </row>
    <row r="10" spans="2:11" x14ac:dyDescent="0.25">
      <c r="B10" s="42">
        <v>5</v>
      </c>
      <c r="C10" s="8" t="str">
        <f>'DIAGNOSTICO ECONOMICO'!N40</f>
        <v>Promedio</v>
      </c>
      <c r="E10" s="30"/>
    </row>
    <row r="11" spans="2:11" x14ac:dyDescent="0.25">
      <c r="B11" s="42">
        <v>6</v>
      </c>
      <c r="C11" s="8" t="str">
        <f>'DIAGNOSTICO ECONOMICO'!N47</f>
        <v>Promedio</v>
      </c>
      <c r="E11" s="30"/>
    </row>
    <row r="12" spans="2:11" x14ac:dyDescent="0.25">
      <c r="B12" s="42">
        <v>7</v>
      </c>
      <c r="C12" s="8" t="str">
        <f>'DIAGNOSTICO ECONOMICO'!N54</f>
        <v>Promedio</v>
      </c>
      <c r="E12" s="30"/>
    </row>
    <row r="13" spans="2:11" x14ac:dyDescent="0.25">
      <c r="B13" s="42">
        <v>8</v>
      </c>
      <c r="C13" s="8" t="str">
        <f>'DIAGNOSTICO ECONOMICO'!N61</f>
        <v>Promedio</v>
      </c>
      <c r="E13" s="30"/>
    </row>
    <row r="14" spans="2:11" x14ac:dyDescent="0.25">
      <c r="B14" s="36"/>
      <c r="E14" s="30"/>
    </row>
    <row r="15" spans="2:11" ht="15.6" x14ac:dyDescent="0.3">
      <c r="B15" s="69" t="s">
        <v>6</v>
      </c>
      <c r="E15" s="30"/>
    </row>
    <row r="16" spans="2:11" ht="15.6" thickBot="1" x14ac:dyDescent="0.3">
      <c r="B16" s="42">
        <v>9</v>
      </c>
      <c r="C16" s="8" t="str">
        <f>'DIAGNOSTICO ECONOMICO'!N71</f>
        <v>Promedio</v>
      </c>
      <c r="E16" s="30"/>
    </row>
    <row r="17" spans="2:9" ht="15.6" thickBot="1" x14ac:dyDescent="0.3">
      <c r="B17" s="42">
        <v>10</v>
      </c>
      <c r="C17" s="8" t="str">
        <f>'DIAGNOSTICO ECONOMICO'!N78</f>
        <v>Promedio</v>
      </c>
      <c r="E17" s="30"/>
      <c r="F17" s="25"/>
      <c r="G17" s="25"/>
      <c r="H17" s="25" t="s">
        <v>451</v>
      </c>
      <c r="I17" s="26"/>
    </row>
    <row r="18" spans="2:9" ht="15.6" thickBot="1" x14ac:dyDescent="0.3">
      <c r="B18" s="36"/>
      <c r="E18" s="30"/>
      <c r="G18" s="43" t="s">
        <v>45</v>
      </c>
      <c r="H18" s="43" t="e">
        <f>SUMIF(C6:C13,"&gt;0",C6:C13)/COUNTIF(C6:C13,"&gt;0")</f>
        <v>#DIV/0!</v>
      </c>
      <c r="I18" s="30"/>
    </row>
    <row r="19" spans="2:9" ht="16.2" thickBot="1" x14ac:dyDescent="0.35">
      <c r="B19" s="69" t="s">
        <v>7</v>
      </c>
      <c r="E19" s="30"/>
      <c r="G19" s="43" t="s">
        <v>56</v>
      </c>
      <c r="H19" s="43" t="e">
        <f>SUMIF(C16:C17,"&gt;0",C16:C17)/COUNTIF(C16:C17,"&gt;0")</f>
        <v>#DIV/0!</v>
      </c>
      <c r="I19" s="30"/>
    </row>
    <row r="20" spans="2:9" ht="15.6" thickBot="1" x14ac:dyDescent="0.3">
      <c r="B20" s="42">
        <v>11</v>
      </c>
      <c r="C20" s="8" t="str">
        <f>'DIAGNOSTICO ECONOMICO'!N88</f>
        <v>Promedio</v>
      </c>
      <c r="E20" s="30"/>
      <c r="G20" s="43" t="s">
        <v>77</v>
      </c>
      <c r="H20" s="43" t="e">
        <f>SUMIF(C20:C23,"&gt;0",C20:C23)/COUNTIF(C20:C23,"&gt;0")</f>
        <v>#DIV/0!</v>
      </c>
      <c r="I20" s="30"/>
    </row>
    <row r="21" spans="2:9" ht="15.6" thickBot="1" x14ac:dyDescent="0.3">
      <c r="B21" s="42">
        <v>12</v>
      </c>
      <c r="C21" s="8" t="str">
        <f>'DIAGNOSTICO ECONOMICO'!N95</f>
        <v>Promedio</v>
      </c>
      <c r="E21" s="30"/>
      <c r="G21" s="43" t="s">
        <v>78</v>
      </c>
      <c r="H21" s="43" t="e">
        <f>SUMIF(C26:C31,"&gt;0",C26:C31)/COUNTIF(C26:C31,"&gt;0")</f>
        <v>#DIV/0!</v>
      </c>
      <c r="I21" s="30"/>
    </row>
    <row r="22" spans="2:9" ht="15.6" thickBot="1" x14ac:dyDescent="0.3">
      <c r="B22" s="42">
        <v>13</v>
      </c>
      <c r="C22" s="8" t="str">
        <f>'DIAGNOSTICO ECONOMICO'!N102</f>
        <v>Promedio</v>
      </c>
      <c r="E22" s="30"/>
      <c r="G22" s="43" t="s">
        <v>79</v>
      </c>
      <c r="H22" s="43" t="e">
        <f>SUMIF(C34:C35,"&gt;0",C34:C35)/COUNTIF(C34:C35,"&gt;0")</f>
        <v>#DIV/0!</v>
      </c>
      <c r="I22" s="30"/>
    </row>
    <row r="23" spans="2:9" ht="15.6" thickBot="1" x14ac:dyDescent="0.3">
      <c r="B23" s="42">
        <v>14</v>
      </c>
      <c r="C23" s="8" t="str">
        <f>'DIAGNOSTICO ECONOMICO'!N109</f>
        <v>Promedio</v>
      </c>
      <c r="E23" s="30"/>
      <c r="G23" s="43" t="s">
        <v>80</v>
      </c>
      <c r="H23" s="43" t="e">
        <f>SUMIF(C38:C40,"&gt;0",C38:C40)/COUNTIF(C38:C40,"&gt;0")</f>
        <v>#DIV/0!</v>
      </c>
      <c r="I23" s="30"/>
    </row>
    <row r="24" spans="2:9" ht="15.6" thickBot="1" x14ac:dyDescent="0.3">
      <c r="B24" s="44"/>
      <c r="E24" s="30"/>
      <c r="G24" s="43" t="s">
        <v>81</v>
      </c>
      <c r="H24" s="43" t="e">
        <f>SUMIF(C43,"&gt;0",C43)/COUNTIF(C43,"&gt;0")</f>
        <v>#DIV/0!</v>
      </c>
      <c r="I24" s="30"/>
    </row>
    <row r="25" spans="2:9" ht="16.2" thickBot="1" x14ac:dyDescent="0.35">
      <c r="B25" s="69" t="s">
        <v>8</v>
      </c>
      <c r="E25" s="30"/>
      <c r="F25" s="38"/>
      <c r="G25" s="38"/>
      <c r="H25" s="38"/>
      <c r="I25" s="39"/>
    </row>
    <row r="26" spans="2:9" ht="15.6" thickBot="1" x14ac:dyDescent="0.3">
      <c r="B26" s="42">
        <v>15</v>
      </c>
      <c r="C26" s="8" t="str">
        <f>'DIAGNOSTICO ECONOMICO'!N119</f>
        <v>Promedio</v>
      </c>
      <c r="E26" s="30"/>
      <c r="G26" s="2" t="s">
        <v>449</v>
      </c>
      <c r="H26" s="43" t="e">
        <f>((SUM(H18:H25)/7)*100)/7</f>
        <v>#DIV/0!</v>
      </c>
    </row>
    <row r="27" spans="2:9" x14ac:dyDescent="0.25">
      <c r="B27" s="42">
        <v>16</v>
      </c>
      <c r="C27" s="8" t="str">
        <f>'DIAGNOSTICO ECONOMICO'!N126</f>
        <v>Promedio</v>
      </c>
      <c r="E27" s="30"/>
    </row>
    <row r="28" spans="2:9" x14ac:dyDescent="0.25">
      <c r="B28" s="42">
        <v>17</v>
      </c>
      <c r="C28" s="8" t="str">
        <f>'DIAGNOSTICO ECONOMICO'!N133</f>
        <v>Promedio</v>
      </c>
      <c r="E28" s="30"/>
    </row>
    <row r="29" spans="2:9" x14ac:dyDescent="0.25">
      <c r="B29" s="42">
        <v>18</v>
      </c>
      <c r="C29" s="8" t="str">
        <f>'DIAGNOSTICO ECONOMICO'!N140</f>
        <v>Promedio</v>
      </c>
      <c r="E29" s="30"/>
    </row>
    <row r="30" spans="2:9" x14ac:dyDescent="0.25">
      <c r="B30" s="42">
        <v>19</v>
      </c>
      <c r="C30" s="8" t="str">
        <f>'DIAGNOSTICO ECONOMICO'!N147</f>
        <v>Promedio</v>
      </c>
      <c r="E30" s="30"/>
    </row>
    <row r="31" spans="2:9" x14ac:dyDescent="0.25">
      <c r="B31" s="42">
        <v>20</v>
      </c>
      <c r="C31" s="8" t="str">
        <f>'DIAGNOSTICO ECONOMICO'!N154</f>
        <v>Promedio</v>
      </c>
      <c r="E31" s="30"/>
    </row>
    <row r="32" spans="2:9" x14ac:dyDescent="0.25">
      <c r="B32" s="36"/>
      <c r="E32" s="30"/>
    </row>
    <row r="33" spans="2:5" ht="15.6" x14ac:dyDescent="0.3">
      <c r="B33" s="69" t="s">
        <v>9</v>
      </c>
      <c r="E33" s="30"/>
    </row>
    <row r="34" spans="2:5" x14ac:dyDescent="0.25">
      <c r="B34" s="42">
        <v>21</v>
      </c>
      <c r="C34" s="8" t="str">
        <f>'DIAGNOSTICO ECONOMICO'!N164</f>
        <v>Promedio</v>
      </c>
      <c r="E34" s="30"/>
    </row>
    <row r="35" spans="2:5" x14ac:dyDescent="0.25">
      <c r="B35" s="42">
        <v>22</v>
      </c>
      <c r="C35" s="8" t="str">
        <f>'DIAGNOSTICO ECONOMICO'!N171</f>
        <v>Promedio</v>
      </c>
      <c r="E35" s="30"/>
    </row>
    <row r="36" spans="2:5" x14ac:dyDescent="0.25">
      <c r="B36" s="36"/>
      <c r="E36" s="30"/>
    </row>
    <row r="37" spans="2:5" ht="15.6" x14ac:dyDescent="0.3">
      <c r="B37" s="69" t="s">
        <v>430</v>
      </c>
      <c r="E37" s="30"/>
    </row>
    <row r="38" spans="2:5" x14ac:dyDescent="0.25">
      <c r="B38" s="42">
        <v>23</v>
      </c>
      <c r="C38" s="8" t="str">
        <f>'DIAGNOSTICO ECONOMICO'!N181</f>
        <v>Promedio</v>
      </c>
      <c r="E38" s="30"/>
    </row>
    <row r="39" spans="2:5" x14ac:dyDescent="0.25">
      <c r="B39" s="42">
        <v>24</v>
      </c>
      <c r="C39" s="8" t="str">
        <f>'DIAGNOSTICO ECONOMICO'!N188</f>
        <v>Promedio</v>
      </c>
      <c r="E39" s="30"/>
    </row>
    <row r="40" spans="2:5" x14ac:dyDescent="0.25">
      <c r="B40" s="42">
        <v>25</v>
      </c>
      <c r="C40" s="8" t="str">
        <f>'DIAGNOSTICO ECONOMICO'!N195</f>
        <v>Promedio</v>
      </c>
      <c r="E40" s="30"/>
    </row>
    <row r="41" spans="2:5" x14ac:dyDescent="0.25">
      <c r="B41" s="36"/>
      <c r="E41" s="30"/>
    </row>
    <row r="42" spans="2:5" ht="15.6" x14ac:dyDescent="0.3">
      <c r="B42" s="69" t="s">
        <v>431</v>
      </c>
      <c r="E42" s="30"/>
    </row>
    <row r="43" spans="2:5" x14ac:dyDescent="0.25">
      <c r="B43" s="42">
        <v>26</v>
      </c>
      <c r="C43" s="8" t="str">
        <f>'DIAGNOSTICO ECONOMICO'!N205</f>
        <v>Promedio</v>
      </c>
      <c r="E43" s="30"/>
    </row>
    <row r="44" spans="2:5" ht="15.6" thickBot="1" x14ac:dyDescent="0.3">
      <c r="B44" s="45"/>
      <c r="C44" s="38"/>
      <c r="D44" s="38"/>
      <c r="E44" s="39"/>
    </row>
    <row r="45" spans="2:5" x14ac:dyDescent="0.25">
      <c r="B45" s="29"/>
    </row>
  </sheetData>
  <mergeCells count="1">
    <mergeCell ref="B2:K2"/>
  </mergeCells>
  <pageMargins left="0.7" right="0.7" top="0.75" bottom="0.75" header="0.3" footer="0.3"/>
  <pageSetup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AE563"/>
  <sheetViews>
    <sheetView showGridLines="0" topLeftCell="A544" zoomScaleNormal="100" workbookViewId="0">
      <selection activeCell="L565" sqref="L565"/>
    </sheetView>
  </sheetViews>
  <sheetFormatPr baseColWidth="10" defaultColWidth="11.44140625" defaultRowHeight="15" x14ac:dyDescent="0.25"/>
  <cols>
    <col min="1" max="2" width="11.44140625" style="2"/>
    <col min="3" max="3" width="28.5546875" style="2" customWidth="1"/>
    <col min="4" max="5" width="2.88671875" style="2" customWidth="1"/>
    <col min="6" max="6" width="6.6640625" style="2" customWidth="1"/>
    <col min="7" max="7" width="3" style="2" customWidth="1"/>
    <col min="8" max="8" width="4.88671875" style="2" customWidth="1"/>
    <col min="9" max="9" width="2.88671875" style="2" customWidth="1"/>
    <col min="10" max="10" width="5.44140625" style="2" customWidth="1"/>
    <col min="11" max="11" width="2.88671875" style="2" customWidth="1"/>
    <col min="12" max="12" width="4.6640625" style="2" customWidth="1"/>
    <col min="13" max="13" width="14.44140625" style="2" bestFit="1" customWidth="1"/>
    <col min="14" max="16" width="11.44140625" style="2"/>
    <col min="17" max="17" width="28.5546875" style="2" customWidth="1"/>
    <col min="18" max="19" width="2.88671875" style="2" customWidth="1"/>
    <col min="20" max="20" width="6.6640625" style="2" customWidth="1"/>
    <col min="21" max="21" width="3" style="2" customWidth="1"/>
    <col min="22" max="22" width="4.88671875" style="2" customWidth="1"/>
    <col min="23" max="23" width="2.88671875" style="2" customWidth="1"/>
    <col min="24" max="24" width="5.44140625" style="2" customWidth="1"/>
    <col min="25" max="25" width="2.88671875" style="2" customWidth="1"/>
    <col min="26" max="26" width="4.6640625" style="2" customWidth="1"/>
    <col min="27" max="27" width="14.44140625" style="2" bestFit="1" customWidth="1"/>
    <col min="28" max="28" width="11.44140625" style="2"/>
    <col min="29" max="29" width="13.88671875" style="2" customWidth="1"/>
    <col min="30" max="31" width="14.44140625" style="2" bestFit="1" customWidth="1"/>
    <col min="32" max="16384" width="11.44140625" style="2"/>
  </cols>
  <sheetData>
    <row r="2" spans="2:31" ht="17.399999999999999" x14ac:dyDescent="0.3">
      <c r="B2" s="1" t="s">
        <v>441</v>
      </c>
    </row>
    <row r="4" spans="2:31" ht="15.6" x14ac:dyDescent="0.3">
      <c r="B4" s="3" t="s">
        <v>452</v>
      </c>
    </row>
    <row r="5" spans="2:31" ht="15" customHeight="1" x14ac:dyDescent="0.25"/>
    <row r="6" spans="2:31" ht="15.6" x14ac:dyDescent="0.3">
      <c r="E6" s="3">
        <v>3</v>
      </c>
      <c r="F6" s="3"/>
      <c r="G6" s="3">
        <v>2</v>
      </c>
      <c r="H6" s="3"/>
      <c r="I6" s="3">
        <v>1</v>
      </c>
      <c r="J6" s="3"/>
      <c r="K6" s="3">
        <v>0</v>
      </c>
    </row>
    <row r="7" spans="2:31" ht="15.6" x14ac:dyDescent="0.3">
      <c r="E7" s="3"/>
      <c r="F7" s="3"/>
      <c r="G7" s="3"/>
      <c r="H7" s="3"/>
      <c r="I7" s="3"/>
      <c r="J7" s="3"/>
      <c r="K7" s="3"/>
    </row>
    <row r="8" spans="2:31" ht="15.6" x14ac:dyDescent="0.3">
      <c r="B8" s="3" t="s">
        <v>12</v>
      </c>
    </row>
    <row r="9" spans="2:31" ht="15.6" thickBot="1" x14ac:dyDescent="0.3"/>
    <row r="10" spans="2:31" x14ac:dyDescent="0.25">
      <c r="B10" s="111" t="s">
        <v>83</v>
      </c>
      <c r="C10" s="108" t="s">
        <v>82</v>
      </c>
      <c r="D10" s="22"/>
      <c r="E10" s="23"/>
      <c r="F10" s="24"/>
      <c r="G10" s="25"/>
      <c r="H10" s="25"/>
      <c r="I10" s="25"/>
      <c r="J10" s="25"/>
      <c r="K10" s="25"/>
      <c r="L10" s="26"/>
    </row>
    <row r="11" spans="2:31" ht="15.6" thickBot="1" x14ac:dyDescent="0.3">
      <c r="B11" s="112"/>
      <c r="C11" s="109"/>
      <c r="D11" s="27"/>
      <c r="E11" s="28"/>
      <c r="F11" s="29"/>
      <c r="L11" s="30"/>
    </row>
    <row r="12" spans="2:31" ht="16.2" thickBot="1" x14ac:dyDescent="0.35">
      <c r="B12" s="112"/>
      <c r="C12" s="109"/>
      <c r="D12" s="27"/>
      <c r="E12" s="31"/>
      <c r="F12" s="32" t="s">
        <v>0</v>
      </c>
      <c r="G12" s="33"/>
      <c r="H12" s="3" t="s">
        <v>2</v>
      </c>
      <c r="I12" s="33"/>
      <c r="J12" s="34" t="s">
        <v>3</v>
      </c>
      <c r="K12" s="33"/>
      <c r="L12" s="35" t="s">
        <v>4</v>
      </c>
      <c r="M12" s="2" t="str">
        <f>IF(E12="X","",IF(G12="X","",IF(I12="X","",IF(K12="X","","Elegir opción"))))</f>
        <v>Elegir opción</v>
      </c>
      <c r="N12" s="28" t="str">
        <f>IF(E12="X",3,IF(G12="X",2,IF(I12="X",1,IF(K12="X",0,"Promedio"))))</f>
        <v>Promedio</v>
      </c>
      <c r="O12" s="28"/>
      <c r="AE12" s="28"/>
    </row>
    <row r="13" spans="2:31" x14ac:dyDescent="0.25">
      <c r="B13" s="112"/>
      <c r="C13" s="109"/>
      <c r="D13" s="36"/>
      <c r="L13" s="30"/>
    </row>
    <row r="14" spans="2:31" x14ac:dyDescent="0.25">
      <c r="B14" s="112"/>
      <c r="C14" s="109"/>
      <c r="D14" s="36"/>
      <c r="L14" s="30"/>
    </row>
    <row r="15" spans="2:31" ht="15.6" thickBot="1" x14ac:dyDescent="0.3">
      <c r="B15" s="113"/>
      <c r="C15" s="110"/>
      <c r="D15" s="37"/>
      <c r="E15" s="38"/>
      <c r="F15" s="38"/>
      <c r="G15" s="38"/>
      <c r="H15" s="38"/>
      <c r="I15" s="38"/>
      <c r="J15" s="38"/>
      <c r="K15" s="38"/>
      <c r="L15" s="39"/>
    </row>
    <row r="16" spans="2:31" ht="8.25" customHeight="1" thickBot="1" x14ac:dyDescent="0.3"/>
    <row r="17" spans="2:15" x14ac:dyDescent="0.25">
      <c r="B17" s="111" t="s">
        <v>87</v>
      </c>
      <c r="C17" s="108" t="s">
        <v>84</v>
      </c>
      <c r="D17" s="22"/>
      <c r="E17" s="23"/>
      <c r="F17" s="24"/>
      <c r="G17" s="25"/>
      <c r="H17" s="25"/>
      <c r="I17" s="25"/>
      <c r="J17" s="25"/>
      <c r="K17" s="25"/>
      <c r="L17" s="26"/>
    </row>
    <row r="18" spans="2:15" ht="15.6" thickBot="1" x14ac:dyDescent="0.3">
      <c r="B18" s="112"/>
      <c r="C18" s="109"/>
      <c r="D18" s="27"/>
      <c r="E18" s="28"/>
      <c r="F18" s="29"/>
      <c r="L18" s="30"/>
    </row>
    <row r="19" spans="2:15" ht="16.2" thickBot="1" x14ac:dyDescent="0.35">
      <c r="B19" s="112"/>
      <c r="C19" s="109"/>
      <c r="D19" s="27"/>
      <c r="E19" s="31"/>
      <c r="F19" s="32" t="s">
        <v>0</v>
      </c>
      <c r="G19" s="33"/>
      <c r="H19" s="3" t="s">
        <v>2</v>
      </c>
      <c r="I19" s="33"/>
      <c r="J19" s="34" t="s">
        <v>3</v>
      </c>
      <c r="K19" s="33"/>
      <c r="L19" s="35" t="s">
        <v>4</v>
      </c>
      <c r="M19" s="2" t="str">
        <f>IF(E19="X","",IF(G19="X","",IF(I19="X","",IF(K19="X","","Elegir opción"))))</f>
        <v>Elegir opción</v>
      </c>
      <c r="N19" s="28" t="str">
        <f>IF(E19="X",3,IF(G19="X",2,IF(I19="X",1,IF(K19="X",0,"Promedio"))))</f>
        <v>Promedio</v>
      </c>
      <c r="O19" s="28"/>
    </row>
    <row r="20" spans="2:15" x14ac:dyDescent="0.25">
      <c r="B20" s="112"/>
      <c r="C20" s="109"/>
      <c r="D20" s="36"/>
      <c r="L20" s="30"/>
    </row>
    <row r="21" spans="2:15" x14ac:dyDescent="0.25">
      <c r="B21" s="112"/>
      <c r="C21" s="109"/>
      <c r="D21" s="36"/>
      <c r="L21" s="30"/>
    </row>
    <row r="22" spans="2:15" ht="15.6" thickBot="1" x14ac:dyDescent="0.3">
      <c r="B22" s="113"/>
      <c r="C22" s="110"/>
      <c r="D22" s="37"/>
      <c r="E22" s="38"/>
      <c r="F22" s="38"/>
      <c r="G22" s="38"/>
      <c r="H22" s="38"/>
      <c r="I22" s="38"/>
      <c r="J22" s="38"/>
      <c r="K22" s="38"/>
      <c r="L22" s="39"/>
    </row>
    <row r="23" spans="2:15" ht="8.25" customHeight="1" thickBot="1" x14ac:dyDescent="0.3"/>
    <row r="24" spans="2:15" ht="15" customHeight="1" x14ac:dyDescent="0.25">
      <c r="B24" s="111" t="s">
        <v>88</v>
      </c>
      <c r="C24" s="108" t="s">
        <v>86</v>
      </c>
      <c r="D24" s="22"/>
      <c r="E24" s="23"/>
      <c r="F24" s="24"/>
      <c r="G24" s="25"/>
      <c r="H24" s="25"/>
      <c r="I24" s="25"/>
      <c r="J24" s="25"/>
      <c r="K24" s="25"/>
      <c r="L24" s="26"/>
    </row>
    <row r="25" spans="2:15" ht="15.6" thickBot="1" x14ac:dyDescent="0.3">
      <c r="B25" s="112"/>
      <c r="C25" s="109"/>
      <c r="D25" s="27"/>
      <c r="E25" s="28"/>
      <c r="F25" s="29"/>
      <c r="L25" s="30"/>
    </row>
    <row r="26" spans="2:15" ht="15" customHeight="1" thickBot="1" x14ac:dyDescent="0.35">
      <c r="B26" s="112"/>
      <c r="C26" s="109"/>
      <c r="D26" s="27"/>
      <c r="E26" s="31"/>
      <c r="F26" s="32" t="s">
        <v>0</v>
      </c>
      <c r="G26" s="33"/>
      <c r="H26" s="3" t="s">
        <v>2</v>
      </c>
      <c r="I26" s="33"/>
      <c r="J26" s="34" t="s">
        <v>3</v>
      </c>
      <c r="K26" s="33"/>
      <c r="L26" s="35" t="s">
        <v>4</v>
      </c>
      <c r="M26" s="2" t="str">
        <f>IF(E26="X","",IF(G26="X","",IF(I26="X","",IF(K26="X","","Elegir opción"))))</f>
        <v>Elegir opción</v>
      </c>
      <c r="N26" s="28" t="str">
        <f>IF(E26="X",3,IF(G26="X",2,IF(I26="X",1,IF(K26="X",0,"Promedio"))))</f>
        <v>Promedio</v>
      </c>
      <c r="O26" s="28"/>
    </row>
    <row r="27" spans="2:15" x14ac:dyDescent="0.25">
      <c r="B27" s="112"/>
      <c r="C27" s="109"/>
      <c r="D27" s="36"/>
      <c r="L27" s="30"/>
    </row>
    <row r="28" spans="2:15" ht="15" customHeight="1" x14ac:dyDescent="0.25">
      <c r="B28" s="112"/>
      <c r="C28" s="109"/>
      <c r="D28" s="36"/>
      <c r="L28" s="30"/>
    </row>
    <row r="29" spans="2:15" ht="15.6" thickBot="1" x14ac:dyDescent="0.3">
      <c r="B29" s="113"/>
      <c r="C29" s="110"/>
      <c r="D29" s="37"/>
      <c r="E29" s="38"/>
      <c r="F29" s="38"/>
      <c r="G29" s="38"/>
      <c r="H29" s="38"/>
      <c r="I29" s="38"/>
      <c r="J29" s="38"/>
      <c r="K29" s="38"/>
      <c r="L29" s="39"/>
    </row>
    <row r="30" spans="2:15" ht="8.25" customHeight="1" thickBot="1" x14ac:dyDescent="0.3"/>
    <row r="31" spans="2:15" ht="15" customHeight="1" x14ac:dyDescent="0.25">
      <c r="B31" s="111" t="s">
        <v>89</v>
      </c>
      <c r="C31" s="108" t="s">
        <v>453</v>
      </c>
      <c r="D31" s="22"/>
      <c r="E31" s="23"/>
      <c r="F31" s="24"/>
      <c r="G31" s="25"/>
      <c r="H31" s="25"/>
      <c r="I31" s="25"/>
      <c r="J31" s="25"/>
      <c r="K31" s="25"/>
      <c r="L31" s="26"/>
    </row>
    <row r="32" spans="2:15" ht="15.6" thickBot="1" x14ac:dyDescent="0.3">
      <c r="B32" s="112"/>
      <c r="C32" s="109"/>
      <c r="D32" s="27"/>
      <c r="E32" s="28"/>
      <c r="F32" s="29"/>
      <c r="L32" s="30"/>
      <c r="N32" s="28"/>
      <c r="O32" s="28"/>
    </row>
    <row r="33" spans="2:15" ht="16.2" thickBot="1" x14ac:dyDescent="0.35">
      <c r="B33" s="112"/>
      <c r="C33" s="109"/>
      <c r="D33" s="27"/>
      <c r="E33" s="31"/>
      <c r="F33" s="32" t="s">
        <v>0</v>
      </c>
      <c r="G33" s="33"/>
      <c r="H33" s="3" t="s">
        <v>2</v>
      </c>
      <c r="I33" s="33"/>
      <c r="J33" s="34" t="s">
        <v>3</v>
      </c>
      <c r="K33" s="33"/>
      <c r="L33" s="35" t="s">
        <v>4</v>
      </c>
      <c r="M33" s="2" t="str">
        <f>IF(E33="X","",IF(G33="X","",IF(I33="X","",IF(K33="X","","Elegir opción"))))</f>
        <v>Elegir opción</v>
      </c>
      <c r="N33" s="28" t="str">
        <f>IF(E33="X",3,IF(G33="X",2,IF(I33="X",1,IF(K33="X",0,"Promedio"))))</f>
        <v>Promedio</v>
      </c>
      <c r="O33" s="28"/>
    </row>
    <row r="34" spans="2:15" ht="22.5" customHeight="1" x14ac:dyDescent="0.25">
      <c r="B34" s="112"/>
      <c r="C34" s="109"/>
      <c r="D34" s="36"/>
      <c r="L34" s="30"/>
    </row>
    <row r="35" spans="2:15" ht="23.25" customHeight="1" x14ac:dyDescent="0.25">
      <c r="B35" s="112"/>
      <c r="C35" s="109"/>
      <c r="D35" s="36"/>
      <c r="L35" s="30"/>
    </row>
    <row r="36" spans="2:15" ht="15.6" thickBot="1" x14ac:dyDescent="0.3">
      <c r="B36" s="113"/>
      <c r="C36" s="110"/>
      <c r="D36" s="37"/>
      <c r="E36" s="38"/>
      <c r="F36" s="38"/>
      <c r="G36" s="38"/>
      <c r="H36" s="38"/>
      <c r="I36" s="38"/>
      <c r="J36" s="38"/>
      <c r="K36" s="38"/>
      <c r="L36" s="39"/>
    </row>
    <row r="37" spans="2:15" ht="8.25" customHeight="1" thickBot="1" x14ac:dyDescent="0.3"/>
    <row r="38" spans="2:15" ht="15" customHeight="1" x14ac:dyDescent="0.25">
      <c r="B38" s="111" t="s">
        <v>90</v>
      </c>
      <c r="C38" s="108" t="s">
        <v>85</v>
      </c>
      <c r="D38" s="22"/>
      <c r="E38" s="23"/>
      <c r="F38" s="24"/>
      <c r="G38" s="25"/>
      <c r="H38" s="25"/>
      <c r="I38" s="25"/>
      <c r="J38" s="25"/>
      <c r="K38" s="25"/>
      <c r="L38" s="26"/>
    </row>
    <row r="39" spans="2:15" ht="15.6" thickBot="1" x14ac:dyDescent="0.3">
      <c r="B39" s="112"/>
      <c r="C39" s="109"/>
      <c r="D39" s="27"/>
      <c r="E39" s="28"/>
      <c r="F39" s="29"/>
      <c r="L39" s="30"/>
    </row>
    <row r="40" spans="2:15" ht="16.2" thickBot="1" x14ac:dyDescent="0.35">
      <c r="B40" s="112"/>
      <c r="C40" s="109"/>
      <c r="D40" s="27"/>
      <c r="E40" s="31"/>
      <c r="F40" s="32" t="s">
        <v>0</v>
      </c>
      <c r="G40" s="33"/>
      <c r="H40" s="3" t="s">
        <v>2</v>
      </c>
      <c r="I40" s="33"/>
      <c r="J40" s="34" t="s">
        <v>3</v>
      </c>
      <c r="K40" s="33"/>
      <c r="L40" s="35" t="s">
        <v>4</v>
      </c>
      <c r="M40" s="2" t="str">
        <f>IF(E40="X","",IF(G40="X","",IF(I40="X","",IF(K40="X","","Elegir opción"))))</f>
        <v>Elegir opción</v>
      </c>
      <c r="N40" s="28" t="str">
        <f>IF(E40="X",3,IF(G40="X",2,IF(I40="X",1,IF(K40="X",0,"Promedio"))))</f>
        <v>Promedio</v>
      </c>
      <c r="O40" s="28"/>
    </row>
    <row r="41" spans="2:15" x14ac:dyDescent="0.25">
      <c r="B41" s="112"/>
      <c r="C41" s="109"/>
      <c r="D41" s="36"/>
      <c r="L41" s="30"/>
    </row>
    <row r="42" spans="2:15" x14ac:dyDescent="0.25">
      <c r="B42" s="112"/>
      <c r="C42" s="109"/>
      <c r="D42" s="36"/>
      <c r="L42" s="30"/>
    </row>
    <row r="43" spans="2:15" ht="15.6" thickBot="1" x14ac:dyDescent="0.3">
      <c r="B43" s="113"/>
      <c r="C43" s="110"/>
      <c r="D43" s="37"/>
      <c r="E43" s="38"/>
      <c r="F43" s="38"/>
      <c r="G43" s="38"/>
      <c r="H43" s="38"/>
      <c r="I43" s="38"/>
      <c r="J43" s="38"/>
      <c r="K43" s="38"/>
      <c r="L43" s="39"/>
    </row>
    <row r="44" spans="2:15" ht="15" customHeight="1" x14ac:dyDescent="0.25"/>
    <row r="45" spans="2:15" ht="15.6" x14ac:dyDescent="0.3">
      <c r="E45" s="3"/>
      <c r="F45" s="3"/>
      <c r="G45" s="3"/>
      <c r="H45" s="3"/>
      <c r="I45" s="3"/>
      <c r="J45" s="3"/>
      <c r="K45" s="3"/>
    </row>
    <row r="46" spans="2:15" ht="15.6" x14ac:dyDescent="0.3">
      <c r="B46" s="3" t="s">
        <v>13</v>
      </c>
    </row>
    <row r="47" spans="2:15" ht="15.6" thickBot="1" x14ac:dyDescent="0.3"/>
    <row r="48" spans="2:15" x14ac:dyDescent="0.25">
      <c r="B48" s="111" t="s">
        <v>91</v>
      </c>
      <c r="C48" s="108" t="s">
        <v>454</v>
      </c>
      <c r="D48" s="22"/>
      <c r="E48" s="23"/>
      <c r="F48" s="24"/>
      <c r="G48" s="25"/>
      <c r="H48" s="25"/>
      <c r="I48" s="25"/>
      <c r="J48" s="25"/>
      <c r="K48" s="25"/>
      <c r="L48" s="26"/>
    </row>
    <row r="49" spans="2:15" ht="15.6" thickBot="1" x14ac:dyDescent="0.3">
      <c r="B49" s="112"/>
      <c r="C49" s="109"/>
      <c r="D49" s="27"/>
      <c r="E49" s="28"/>
      <c r="F49" s="29"/>
      <c r="L49" s="30"/>
    </row>
    <row r="50" spans="2:15" ht="16.2" thickBot="1" x14ac:dyDescent="0.35">
      <c r="B50" s="112"/>
      <c r="C50" s="109"/>
      <c r="D50" s="27"/>
      <c r="E50" s="31"/>
      <c r="F50" s="32" t="s">
        <v>0</v>
      </c>
      <c r="G50" s="33"/>
      <c r="H50" s="3" t="s">
        <v>2</v>
      </c>
      <c r="I50" s="33"/>
      <c r="J50" s="34" t="s">
        <v>3</v>
      </c>
      <c r="K50" s="33"/>
      <c r="L50" s="35" t="s">
        <v>4</v>
      </c>
      <c r="M50" s="2" t="str">
        <f>IF(E50="X","",IF(G50="X","",IF(I50="X","",IF(K50="X","","Elegir opción"))))</f>
        <v>Elegir opción</v>
      </c>
      <c r="N50" s="28" t="str">
        <f>IF(E50="X",3,IF(G50="X",2,IF(I50="X",1,IF(K50="X",0,"Promedio"))))</f>
        <v>Promedio</v>
      </c>
      <c r="O50" s="28"/>
    </row>
    <row r="51" spans="2:15" x14ac:dyDescent="0.25">
      <c r="B51" s="112"/>
      <c r="C51" s="109"/>
      <c r="D51" s="36"/>
      <c r="L51" s="30"/>
    </row>
    <row r="52" spans="2:15" x14ac:dyDescent="0.25">
      <c r="B52" s="112"/>
      <c r="C52" s="109"/>
      <c r="D52" s="36"/>
      <c r="L52" s="30"/>
    </row>
    <row r="53" spans="2:15" ht="15.75" customHeight="1" thickBot="1" x14ac:dyDescent="0.3">
      <c r="B53" s="113"/>
      <c r="C53" s="110"/>
      <c r="D53" s="37"/>
      <c r="E53" s="38"/>
      <c r="F53" s="38"/>
      <c r="G53" s="38"/>
      <c r="H53" s="38"/>
      <c r="I53" s="38"/>
      <c r="J53" s="38"/>
      <c r="K53" s="38"/>
      <c r="L53" s="39"/>
    </row>
    <row r="54" spans="2:15" ht="8.25" customHeight="1" thickBot="1" x14ac:dyDescent="0.3"/>
    <row r="55" spans="2:15" ht="15" customHeight="1" x14ac:dyDescent="0.25">
      <c r="B55" s="111" t="s">
        <v>98</v>
      </c>
      <c r="C55" s="108" t="s">
        <v>92</v>
      </c>
      <c r="D55" s="22"/>
      <c r="E55" s="23"/>
      <c r="F55" s="24"/>
      <c r="G55" s="25"/>
      <c r="H55" s="25"/>
      <c r="I55" s="25"/>
      <c r="J55" s="25"/>
      <c r="K55" s="25"/>
      <c r="L55" s="26"/>
    </row>
    <row r="56" spans="2:15" ht="15.6" thickBot="1" x14ac:dyDescent="0.3">
      <c r="B56" s="112"/>
      <c r="C56" s="109"/>
      <c r="D56" s="27"/>
      <c r="E56" s="28"/>
      <c r="F56" s="29"/>
      <c r="L56" s="30"/>
    </row>
    <row r="57" spans="2:15" ht="16.2" thickBot="1" x14ac:dyDescent="0.35">
      <c r="B57" s="112"/>
      <c r="C57" s="109"/>
      <c r="D57" s="27"/>
      <c r="E57" s="31"/>
      <c r="F57" s="32" t="s">
        <v>0</v>
      </c>
      <c r="G57" s="33"/>
      <c r="H57" s="3" t="s">
        <v>2</v>
      </c>
      <c r="I57" s="33"/>
      <c r="J57" s="34" t="s">
        <v>3</v>
      </c>
      <c r="K57" s="33"/>
      <c r="L57" s="35" t="s">
        <v>4</v>
      </c>
      <c r="M57" s="2" t="str">
        <f>IF(E57="X","",IF(G57="X","",IF(I57="X","",IF(K57="X","","Elegir opción"))))</f>
        <v>Elegir opción</v>
      </c>
      <c r="N57" s="28" t="str">
        <f>IF(E57="X",3,IF(G57="X",2,IF(I57="X",1,IF(K57="X",0,"Promedio"))))</f>
        <v>Promedio</v>
      </c>
      <c r="O57" s="28"/>
    </row>
    <row r="58" spans="2:15" x14ac:dyDescent="0.25">
      <c r="B58" s="112"/>
      <c r="C58" s="109"/>
      <c r="D58" s="36"/>
      <c r="L58" s="30"/>
    </row>
    <row r="59" spans="2:15" x14ac:dyDescent="0.25">
      <c r="B59" s="112"/>
      <c r="C59" s="109"/>
      <c r="D59" s="36"/>
      <c r="L59" s="30"/>
    </row>
    <row r="60" spans="2:15" ht="15.75" customHeight="1" thickBot="1" x14ac:dyDescent="0.3">
      <c r="B60" s="113"/>
      <c r="C60" s="110"/>
      <c r="D60" s="37"/>
      <c r="E60" s="38"/>
      <c r="F60" s="38"/>
      <c r="G60" s="38"/>
      <c r="H60" s="38"/>
      <c r="I60" s="38"/>
      <c r="J60" s="38"/>
      <c r="K60" s="38"/>
      <c r="L60" s="39"/>
    </row>
    <row r="61" spans="2:15" ht="8.25" customHeight="1" thickBot="1" x14ac:dyDescent="0.3"/>
    <row r="62" spans="2:15" x14ac:dyDescent="0.25">
      <c r="B62" s="111" t="s">
        <v>99</v>
      </c>
      <c r="C62" s="108" t="s">
        <v>93</v>
      </c>
      <c r="D62" s="22"/>
      <c r="E62" s="23"/>
      <c r="F62" s="24"/>
      <c r="G62" s="25"/>
      <c r="H62" s="25"/>
      <c r="I62" s="25"/>
      <c r="J62" s="25"/>
      <c r="K62" s="25"/>
      <c r="L62" s="26"/>
    </row>
    <row r="63" spans="2:15" ht="15.6" thickBot="1" x14ac:dyDescent="0.3">
      <c r="B63" s="112"/>
      <c r="C63" s="109"/>
      <c r="D63" s="27"/>
      <c r="E63" s="28"/>
      <c r="F63" s="29"/>
      <c r="L63" s="30"/>
    </row>
    <row r="64" spans="2:15" ht="16.2" thickBot="1" x14ac:dyDescent="0.35">
      <c r="B64" s="112"/>
      <c r="C64" s="109"/>
      <c r="D64" s="27"/>
      <c r="E64" s="31"/>
      <c r="F64" s="32" t="s">
        <v>0</v>
      </c>
      <c r="G64" s="33"/>
      <c r="H64" s="3" t="s">
        <v>2</v>
      </c>
      <c r="I64" s="33"/>
      <c r="J64" s="34" t="s">
        <v>3</v>
      </c>
      <c r="K64" s="33"/>
      <c r="L64" s="35" t="s">
        <v>4</v>
      </c>
      <c r="M64" s="2" t="str">
        <f>IF(E64="X","",IF(G64="X","",IF(I64="X","",IF(K64="X","","Elegir opción"))))</f>
        <v>Elegir opción</v>
      </c>
      <c r="N64" s="28" t="str">
        <f>IF(E64="X",3,IF(G64="X",2,IF(I64="X",1,IF(K64="X",0,"Promedio"))))</f>
        <v>Promedio</v>
      </c>
      <c r="O64" s="28"/>
    </row>
    <row r="65" spans="2:15" x14ac:dyDescent="0.25">
      <c r="B65" s="112"/>
      <c r="C65" s="109"/>
      <c r="D65" s="36"/>
      <c r="L65" s="30"/>
    </row>
    <row r="66" spans="2:15" ht="27" customHeight="1" x14ac:dyDescent="0.25">
      <c r="B66" s="112"/>
      <c r="C66" s="109"/>
      <c r="D66" s="36"/>
      <c r="L66" s="30"/>
    </row>
    <row r="67" spans="2:15" ht="15.6" thickBot="1" x14ac:dyDescent="0.3">
      <c r="B67" s="113"/>
      <c r="C67" s="110"/>
      <c r="D67" s="37"/>
      <c r="E67" s="38"/>
      <c r="F67" s="38"/>
      <c r="G67" s="38"/>
      <c r="H67" s="38"/>
      <c r="I67" s="38"/>
      <c r="J67" s="38"/>
      <c r="K67" s="38"/>
      <c r="L67" s="39"/>
    </row>
    <row r="68" spans="2:15" ht="8.25" customHeight="1" thickBot="1" x14ac:dyDescent="0.3"/>
    <row r="69" spans="2:15" x14ac:dyDescent="0.25">
      <c r="B69" s="111" t="s">
        <v>100</v>
      </c>
      <c r="C69" s="108" t="s">
        <v>94</v>
      </c>
      <c r="D69" s="22"/>
      <c r="E69" s="23"/>
      <c r="F69" s="24"/>
      <c r="G69" s="25"/>
      <c r="H69" s="25"/>
      <c r="I69" s="25"/>
      <c r="J69" s="25"/>
      <c r="K69" s="25"/>
      <c r="L69" s="26"/>
    </row>
    <row r="70" spans="2:15" ht="15.6" thickBot="1" x14ac:dyDescent="0.3">
      <c r="B70" s="112"/>
      <c r="C70" s="109"/>
      <c r="D70" s="27"/>
      <c r="E70" s="28"/>
      <c r="F70" s="29"/>
      <c r="L70" s="30"/>
    </row>
    <row r="71" spans="2:15" ht="16.2" thickBot="1" x14ac:dyDescent="0.35">
      <c r="B71" s="112"/>
      <c r="C71" s="109"/>
      <c r="D71" s="27"/>
      <c r="E71" s="31"/>
      <c r="F71" s="32" t="s">
        <v>0</v>
      </c>
      <c r="G71" s="33"/>
      <c r="H71" s="3" t="s">
        <v>2</v>
      </c>
      <c r="I71" s="33"/>
      <c r="J71" s="34" t="s">
        <v>3</v>
      </c>
      <c r="K71" s="33"/>
      <c r="L71" s="35" t="s">
        <v>4</v>
      </c>
      <c r="M71" s="2" t="str">
        <f>IF(E71="X","",IF(G71="X","",IF(I71="X","",IF(K71="X","","Elegir opción"))))</f>
        <v>Elegir opción</v>
      </c>
      <c r="N71" s="28" t="str">
        <f>IF(E71="X",3,IF(G71="X",2,IF(I71="X",1,IF(K71="X",0,"Promedio"))))</f>
        <v>Promedio</v>
      </c>
      <c r="O71" s="28"/>
    </row>
    <row r="72" spans="2:15" x14ac:dyDescent="0.25">
      <c r="B72" s="112"/>
      <c r="C72" s="109"/>
      <c r="D72" s="36"/>
      <c r="L72" s="30"/>
    </row>
    <row r="73" spans="2:15" x14ac:dyDescent="0.25">
      <c r="B73" s="112"/>
      <c r="C73" s="109"/>
      <c r="D73" s="36"/>
      <c r="L73" s="30"/>
    </row>
    <row r="74" spans="2:15" ht="15.6" thickBot="1" x14ac:dyDescent="0.3">
      <c r="B74" s="113"/>
      <c r="C74" s="110"/>
      <c r="D74" s="37"/>
      <c r="E74" s="38"/>
      <c r="F74" s="38"/>
      <c r="G74" s="38"/>
      <c r="H74" s="38"/>
      <c r="I74" s="38"/>
      <c r="J74" s="38"/>
      <c r="K74" s="38"/>
      <c r="L74" s="39"/>
    </row>
    <row r="75" spans="2:15" ht="8.25" customHeight="1" thickBot="1" x14ac:dyDescent="0.3"/>
    <row r="76" spans="2:15" x14ac:dyDescent="0.25">
      <c r="B76" s="111" t="s">
        <v>101</v>
      </c>
      <c r="C76" s="108" t="s">
        <v>95</v>
      </c>
      <c r="D76" s="22"/>
      <c r="E76" s="23"/>
      <c r="F76" s="24"/>
      <c r="G76" s="25"/>
      <c r="H76" s="25"/>
      <c r="I76" s="25"/>
      <c r="J76" s="25"/>
      <c r="K76" s="25"/>
      <c r="L76" s="26"/>
    </row>
    <row r="77" spans="2:15" ht="15.6" thickBot="1" x14ac:dyDescent="0.3">
      <c r="B77" s="112"/>
      <c r="C77" s="109"/>
      <c r="D77" s="27"/>
      <c r="E77" s="28"/>
      <c r="F77" s="29"/>
      <c r="L77" s="30"/>
    </row>
    <row r="78" spans="2:15" ht="16.2" thickBot="1" x14ac:dyDescent="0.35">
      <c r="B78" s="112"/>
      <c r="C78" s="109"/>
      <c r="D78" s="27"/>
      <c r="E78" s="31"/>
      <c r="F78" s="32" t="s">
        <v>0</v>
      </c>
      <c r="G78" s="33"/>
      <c r="H78" s="3" t="s">
        <v>2</v>
      </c>
      <c r="I78" s="33"/>
      <c r="J78" s="34" t="s">
        <v>3</v>
      </c>
      <c r="K78" s="33"/>
      <c r="L78" s="35" t="s">
        <v>4</v>
      </c>
      <c r="M78" s="2" t="str">
        <f>IF(E78="X","",IF(G78="X","",IF(I78="X","",IF(K78="X","","Elegir opción"))))</f>
        <v>Elegir opción</v>
      </c>
      <c r="N78" s="28" t="str">
        <f>IF(E78="X",3,IF(G78="X",2,IF(I78="X",1,IF(K78="X",0,"Promedio"))))</f>
        <v>Promedio</v>
      </c>
      <c r="O78" s="28"/>
    </row>
    <row r="79" spans="2:15" x14ac:dyDescent="0.25">
      <c r="B79" s="112"/>
      <c r="C79" s="109"/>
      <c r="D79" s="36"/>
      <c r="L79" s="30"/>
    </row>
    <row r="80" spans="2:15" x14ac:dyDescent="0.25">
      <c r="B80" s="112"/>
      <c r="C80" s="109"/>
      <c r="D80" s="36"/>
      <c r="L80" s="30"/>
    </row>
    <row r="81" spans="2:15" ht="15.6" thickBot="1" x14ac:dyDescent="0.3">
      <c r="B81" s="113"/>
      <c r="C81" s="110"/>
      <c r="D81" s="37"/>
      <c r="E81" s="38"/>
      <c r="F81" s="38"/>
      <c r="G81" s="38"/>
      <c r="H81" s="38"/>
      <c r="I81" s="38"/>
      <c r="J81" s="38"/>
      <c r="K81" s="38"/>
      <c r="L81" s="39"/>
    </row>
    <row r="82" spans="2:15" ht="8.25" customHeight="1" thickBot="1" x14ac:dyDescent="0.3"/>
    <row r="83" spans="2:15" x14ac:dyDescent="0.25">
      <c r="B83" s="111" t="s">
        <v>102</v>
      </c>
      <c r="C83" s="108" t="s">
        <v>455</v>
      </c>
      <c r="D83" s="22"/>
      <c r="E83" s="23"/>
      <c r="F83" s="24"/>
      <c r="G83" s="25"/>
      <c r="H83" s="25"/>
      <c r="I83" s="25"/>
      <c r="J83" s="25"/>
      <c r="K83" s="25"/>
      <c r="L83" s="26"/>
    </row>
    <row r="84" spans="2:15" ht="15.6" thickBot="1" x14ac:dyDescent="0.3">
      <c r="B84" s="112"/>
      <c r="C84" s="109"/>
      <c r="D84" s="27"/>
      <c r="E84" s="28"/>
      <c r="F84" s="29"/>
      <c r="L84" s="30"/>
    </row>
    <row r="85" spans="2:15" ht="16.2" thickBot="1" x14ac:dyDescent="0.35">
      <c r="B85" s="112"/>
      <c r="C85" s="109"/>
      <c r="D85" s="27"/>
      <c r="E85" s="31"/>
      <c r="F85" s="32" t="s">
        <v>0</v>
      </c>
      <c r="G85" s="33"/>
      <c r="H85" s="3" t="s">
        <v>2</v>
      </c>
      <c r="I85" s="33"/>
      <c r="J85" s="34" t="s">
        <v>3</v>
      </c>
      <c r="K85" s="33"/>
      <c r="L85" s="35" t="s">
        <v>4</v>
      </c>
      <c r="M85" s="2" t="str">
        <f>IF(E85="X","",IF(G85="X","",IF(I85="X","",IF(K85="X","","Elegir opción"))))</f>
        <v>Elegir opción</v>
      </c>
      <c r="N85" s="28" t="str">
        <f>IF(E85="X",3,IF(G85="X",2,IF(I85="X",1,IF(K85="X",0,"Promedio"))))</f>
        <v>Promedio</v>
      </c>
      <c r="O85" s="28"/>
    </row>
    <row r="86" spans="2:15" x14ac:dyDescent="0.25">
      <c r="B86" s="112"/>
      <c r="C86" s="109"/>
      <c r="D86" s="36"/>
      <c r="L86" s="30"/>
    </row>
    <row r="87" spans="2:15" x14ac:dyDescent="0.25">
      <c r="B87" s="112"/>
      <c r="C87" s="109"/>
      <c r="D87" s="36"/>
      <c r="L87" s="30"/>
    </row>
    <row r="88" spans="2:15" ht="15.6" thickBot="1" x14ac:dyDescent="0.3">
      <c r="B88" s="113"/>
      <c r="C88" s="110"/>
      <c r="D88" s="37"/>
      <c r="E88" s="38"/>
      <c r="F88" s="38"/>
      <c r="G88" s="38"/>
      <c r="H88" s="38"/>
      <c r="I88" s="38"/>
      <c r="J88" s="38"/>
      <c r="K88" s="38"/>
      <c r="L88" s="39"/>
    </row>
    <row r="89" spans="2:15" ht="8.25" customHeight="1" thickBot="1" x14ac:dyDescent="0.3"/>
    <row r="90" spans="2:15" x14ac:dyDescent="0.25">
      <c r="B90" s="111" t="s">
        <v>103</v>
      </c>
      <c r="C90" s="108" t="s">
        <v>96</v>
      </c>
      <c r="D90" s="22"/>
      <c r="E90" s="23"/>
      <c r="F90" s="24"/>
      <c r="G90" s="25"/>
      <c r="H90" s="25"/>
      <c r="I90" s="25"/>
      <c r="J90" s="25"/>
      <c r="K90" s="25"/>
      <c r="L90" s="26"/>
    </row>
    <row r="91" spans="2:15" ht="15.6" thickBot="1" x14ac:dyDescent="0.3">
      <c r="B91" s="112"/>
      <c r="C91" s="109"/>
      <c r="D91" s="27"/>
      <c r="E91" s="28"/>
      <c r="F91" s="29"/>
      <c r="L91" s="30"/>
    </row>
    <row r="92" spans="2:15" ht="16.2" thickBot="1" x14ac:dyDescent="0.35">
      <c r="B92" s="112"/>
      <c r="C92" s="109"/>
      <c r="D92" s="27"/>
      <c r="E92" s="31"/>
      <c r="F92" s="32" t="s">
        <v>0</v>
      </c>
      <c r="G92" s="33"/>
      <c r="H92" s="3" t="s">
        <v>2</v>
      </c>
      <c r="I92" s="33"/>
      <c r="J92" s="34" t="s">
        <v>3</v>
      </c>
      <c r="K92" s="33"/>
      <c r="L92" s="35" t="s">
        <v>4</v>
      </c>
      <c r="M92" s="2" t="str">
        <f>IF(E92="X","",IF(G92="X","",IF(I92="X","",IF(K92="X","","Elegir opción"))))</f>
        <v>Elegir opción</v>
      </c>
      <c r="N92" s="28" t="str">
        <f>IF(E92="X",3,IF(G92="X",2,IF(I92="X",1,IF(K92="X",0,"Promedio"))))</f>
        <v>Promedio</v>
      </c>
      <c r="O92" s="28"/>
    </row>
    <row r="93" spans="2:15" x14ac:dyDescent="0.25">
      <c r="B93" s="112"/>
      <c r="C93" s="109"/>
      <c r="D93" s="36"/>
      <c r="L93" s="30"/>
    </row>
    <row r="94" spans="2:15" x14ac:dyDescent="0.25">
      <c r="B94" s="112"/>
      <c r="C94" s="109"/>
      <c r="D94" s="36"/>
      <c r="L94" s="30"/>
    </row>
    <row r="95" spans="2:15" ht="15.6" thickBot="1" x14ac:dyDescent="0.3">
      <c r="B95" s="113"/>
      <c r="C95" s="110"/>
      <c r="D95" s="37"/>
      <c r="E95" s="38"/>
      <c r="F95" s="38"/>
      <c r="G95" s="38"/>
      <c r="H95" s="38"/>
      <c r="I95" s="38"/>
      <c r="J95" s="38"/>
      <c r="K95" s="38"/>
      <c r="L95" s="39"/>
    </row>
    <row r="96" spans="2:15" ht="8.25" customHeight="1" thickBot="1" x14ac:dyDescent="0.3"/>
    <row r="97" spans="2:15" x14ac:dyDescent="0.25">
      <c r="B97" s="111" t="s">
        <v>104</v>
      </c>
      <c r="C97" s="108" t="s">
        <v>97</v>
      </c>
      <c r="D97" s="22"/>
      <c r="E97" s="23"/>
      <c r="F97" s="24"/>
      <c r="G97" s="25"/>
      <c r="H97" s="25"/>
      <c r="I97" s="25"/>
      <c r="J97" s="25"/>
      <c r="K97" s="25"/>
      <c r="L97" s="26"/>
    </row>
    <row r="98" spans="2:15" ht="15.6" thickBot="1" x14ac:dyDescent="0.3">
      <c r="B98" s="112"/>
      <c r="C98" s="109"/>
      <c r="D98" s="27"/>
      <c r="E98" s="28"/>
      <c r="F98" s="29"/>
      <c r="L98" s="30"/>
    </row>
    <row r="99" spans="2:15" ht="16.2" thickBot="1" x14ac:dyDescent="0.35">
      <c r="B99" s="112"/>
      <c r="C99" s="109"/>
      <c r="D99" s="27"/>
      <c r="E99" s="31"/>
      <c r="F99" s="32" t="s">
        <v>0</v>
      </c>
      <c r="G99" s="33"/>
      <c r="H99" s="3" t="s">
        <v>2</v>
      </c>
      <c r="I99" s="33"/>
      <c r="J99" s="34" t="s">
        <v>3</v>
      </c>
      <c r="K99" s="33"/>
      <c r="L99" s="35" t="s">
        <v>4</v>
      </c>
      <c r="M99" s="2" t="str">
        <f>IF(E99="X","",IF(G99="X","",IF(I99="X","",IF(K99="X","","Elegir opción"))))</f>
        <v>Elegir opción</v>
      </c>
      <c r="N99" s="28" t="str">
        <f>IF(E99="X",3,IF(G99="X",2,IF(I99="X",1,IF(K99="X",0,"Promedio"))))</f>
        <v>Promedio</v>
      </c>
      <c r="O99" s="28"/>
    </row>
    <row r="100" spans="2:15" x14ac:dyDescent="0.25">
      <c r="B100" s="112"/>
      <c r="C100" s="109"/>
      <c r="D100" s="36"/>
      <c r="L100" s="30"/>
    </row>
    <row r="101" spans="2:15" ht="35.25" customHeight="1" x14ac:dyDescent="0.25">
      <c r="B101" s="112"/>
      <c r="C101" s="109"/>
      <c r="D101" s="36"/>
      <c r="L101" s="30"/>
    </row>
    <row r="102" spans="2:15" ht="15.6" thickBot="1" x14ac:dyDescent="0.3">
      <c r="B102" s="113"/>
      <c r="C102" s="110"/>
      <c r="D102" s="37"/>
      <c r="E102" s="38"/>
      <c r="F102" s="38"/>
      <c r="G102" s="38"/>
      <c r="H102" s="38"/>
      <c r="I102" s="38"/>
      <c r="J102" s="38"/>
      <c r="K102" s="38"/>
      <c r="L102" s="39"/>
    </row>
    <row r="104" spans="2:15" ht="15.6" x14ac:dyDescent="0.3">
      <c r="E104" s="3"/>
      <c r="F104" s="3"/>
      <c r="G104" s="3"/>
      <c r="H104" s="3"/>
      <c r="I104" s="3"/>
      <c r="J104" s="3"/>
      <c r="K104" s="3"/>
    </row>
    <row r="105" spans="2:15" ht="15.6" x14ac:dyDescent="0.3">
      <c r="B105" s="3" t="s">
        <v>14</v>
      </c>
    </row>
    <row r="106" spans="2:15" ht="15.6" thickBot="1" x14ac:dyDescent="0.3"/>
    <row r="107" spans="2:15" x14ac:dyDescent="0.25">
      <c r="B107" s="111" t="s">
        <v>107</v>
      </c>
      <c r="C107" s="108" t="s">
        <v>456</v>
      </c>
      <c r="D107" s="22"/>
      <c r="E107" s="23"/>
      <c r="F107" s="24"/>
      <c r="G107" s="25"/>
      <c r="H107" s="25"/>
      <c r="I107" s="25"/>
      <c r="J107" s="25"/>
      <c r="K107" s="25"/>
      <c r="L107" s="26"/>
    </row>
    <row r="108" spans="2:15" ht="15.6" thickBot="1" x14ac:dyDescent="0.3">
      <c r="B108" s="112"/>
      <c r="C108" s="109"/>
      <c r="D108" s="27"/>
      <c r="E108" s="28"/>
      <c r="F108" s="29"/>
      <c r="L108" s="30"/>
    </row>
    <row r="109" spans="2:15" ht="16.2" thickBot="1" x14ac:dyDescent="0.35">
      <c r="B109" s="112"/>
      <c r="C109" s="109"/>
      <c r="D109" s="27"/>
      <c r="E109" s="31"/>
      <c r="F109" s="32" t="s">
        <v>0</v>
      </c>
      <c r="G109" s="33"/>
      <c r="H109" s="3" t="s">
        <v>2</v>
      </c>
      <c r="I109" s="33"/>
      <c r="J109" s="34" t="s">
        <v>3</v>
      </c>
      <c r="K109" s="33"/>
      <c r="L109" s="35" t="s">
        <v>4</v>
      </c>
      <c r="M109" s="2" t="str">
        <f>IF(E109="X","",IF(G109="X","",IF(I109="X","",IF(K109="X","","Elegir opción"))))</f>
        <v>Elegir opción</v>
      </c>
      <c r="N109" s="28" t="str">
        <f>IF(E109="X",3,IF(G109="X",2,IF(I109="X",1,IF(K109="X",0,"Promedio"))))</f>
        <v>Promedio</v>
      </c>
      <c r="O109" s="28"/>
    </row>
    <row r="110" spans="2:15" x14ac:dyDescent="0.25">
      <c r="B110" s="112"/>
      <c r="C110" s="109"/>
      <c r="D110" s="36"/>
      <c r="L110" s="30"/>
    </row>
    <row r="111" spans="2:15" x14ac:dyDescent="0.25">
      <c r="B111" s="112"/>
      <c r="C111" s="109"/>
      <c r="D111" s="36"/>
      <c r="L111" s="30"/>
    </row>
    <row r="112" spans="2:15" ht="15.6" thickBot="1" x14ac:dyDescent="0.3">
      <c r="B112" s="113"/>
      <c r="C112" s="110"/>
      <c r="D112" s="37"/>
      <c r="E112" s="38"/>
      <c r="F112" s="38"/>
      <c r="G112" s="38"/>
      <c r="H112" s="38"/>
      <c r="I112" s="38"/>
      <c r="J112" s="38"/>
      <c r="K112" s="38"/>
      <c r="L112" s="39"/>
    </row>
    <row r="113" spans="2:15" ht="8.25" customHeight="1" thickBot="1" x14ac:dyDescent="0.3"/>
    <row r="114" spans="2:15" x14ac:dyDescent="0.25">
      <c r="B114" s="111" t="s">
        <v>108</v>
      </c>
      <c r="C114" s="108" t="s">
        <v>457</v>
      </c>
      <c r="D114" s="22"/>
      <c r="E114" s="23"/>
      <c r="F114" s="24"/>
      <c r="G114" s="25"/>
      <c r="H114" s="25"/>
      <c r="I114" s="25"/>
      <c r="J114" s="25"/>
      <c r="K114" s="25"/>
      <c r="L114" s="26"/>
    </row>
    <row r="115" spans="2:15" ht="15.6" thickBot="1" x14ac:dyDescent="0.3">
      <c r="B115" s="112"/>
      <c r="C115" s="109"/>
      <c r="D115" s="27"/>
      <c r="E115" s="28"/>
      <c r="F115" s="29"/>
      <c r="L115" s="30"/>
    </row>
    <row r="116" spans="2:15" ht="16.2" thickBot="1" x14ac:dyDescent="0.35">
      <c r="B116" s="112"/>
      <c r="C116" s="109"/>
      <c r="D116" s="27"/>
      <c r="E116" s="31"/>
      <c r="F116" s="32" t="s">
        <v>0</v>
      </c>
      <c r="G116" s="33"/>
      <c r="H116" s="3" t="s">
        <v>2</v>
      </c>
      <c r="I116" s="33"/>
      <c r="J116" s="34" t="s">
        <v>3</v>
      </c>
      <c r="K116" s="33"/>
      <c r="L116" s="35" t="s">
        <v>4</v>
      </c>
      <c r="M116" s="2" t="str">
        <f>IF(E116="X","",IF(G116="X","",IF(I116="X","",IF(K116="X","","Elegir opción"))))</f>
        <v>Elegir opción</v>
      </c>
      <c r="N116" s="28" t="str">
        <f>IF(E116="X",3,IF(G116="X",2,IF(I116="X",1,IF(K116="X",0,"Promedio"))))</f>
        <v>Promedio</v>
      </c>
      <c r="O116" s="28"/>
    </row>
    <row r="117" spans="2:15" x14ac:dyDescent="0.25">
      <c r="B117" s="112"/>
      <c r="C117" s="109"/>
      <c r="D117" s="36"/>
      <c r="L117" s="30"/>
    </row>
    <row r="118" spans="2:15" x14ac:dyDescent="0.25">
      <c r="B118" s="112"/>
      <c r="C118" s="109"/>
      <c r="D118" s="36"/>
      <c r="L118" s="30"/>
    </row>
    <row r="119" spans="2:15" ht="15.6" thickBot="1" x14ac:dyDescent="0.3">
      <c r="B119" s="113"/>
      <c r="C119" s="110"/>
      <c r="D119" s="37"/>
      <c r="E119" s="38"/>
      <c r="F119" s="38"/>
      <c r="G119" s="38"/>
      <c r="H119" s="38"/>
      <c r="I119" s="38"/>
      <c r="J119" s="38"/>
      <c r="K119" s="38"/>
      <c r="L119" s="39"/>
    </row>
    <row r="120" spans="2:15" ht="8.25" customHeight="1" thickBot="1" x14ac:dyDescent="0.3"/>
    <row r="121" spans="2:15" x14ac:dyDescent="0.25">
      <c r="B121" s="111" t="s">
        <v>109</v>
      </c>
      <c r="C121" s="108" t="s">
        <v>458</v>
      </c>
      <c r="D121" s="22"/>
      <c r="E121" s="23"/>
      <c r="F121" s="24"/>
      <c r="G121" s="25"/>
      <c r="H121" s="25"/>
      <c r="I121" s="25"/>
      <c r="J121" s="25"/>
      <c r="K121" s="25"/>
      <c r="L121" s="26"/>
    </row>
    <row r="122" spans="2:15" ht="15.6" thickBot="1" x14ac:dyDescent="0.3">
      <c r="B122" s="112"/>
      <c r="C122" s="109"/>
      <c r="D122" s="27"/>
      <c r="E122" s="28"/>
      <c r="F122" s="29"/>
      <c r="L122" s="30"/>
    </row>
    <row r="123" spans="2:15" ht="16.2" thickBot="1" x14ac:dyDescent="0.35">
      <c r="B123" s="112"/>
      <c r="C123" s="109"/>
      <c r="D123" s="27"/>
      <c r="E123" s="31"/>
      <c r="F123" s="32" t="s">
        <v>0</v>
      </c>
      <c r="G123" s="33"/>
      <c r="H123" s="3" t="s">
        <v>2</v>
      </c>
      <c r="I123" s="33"/>
      <c r="J123" s="34" t="s">
        <v>3</v>
      </c>
      <c r="K123" s="33"/>
      <c r="L123" s="35" t="s">
        <v>4</v>
      </c>
      <c r="M123" s="2" t="str">
        <f>IF(E123="X","",IF(G123="X","",IF(I123="X","",IF(K123="X","","Elegir opción"))))</f>
        <v>Elegir opción</v>
      </c>
      <c r="N123" s="28" t="str">
        <f>IF(E123="X",3,IF(G123="X",2,IF(I123="X",1,IF(K123="X",0,"Promedio"))))</f>
        <v>Promedio</v>
      </c>
      <c r="O123" s="28"/>
    </row>
    <row r="124" spans="2:15" x14ac:dyDescent="0.25">
      <c r="B124" s="112"/>
      <c r="C124" s="109"/>
      <c r="D124" s="36"/>
      <c r="L124" s="30"/>
    </row>
    <row r="125" spans="2:15" ht="27.75" customHeight="1" x14ac:dyDescent="0.25">
      <c r="B125" s="112"/>
      <c r="C125" s="109"/>
      <c r="D125" s="36"/>
      <c r="L125" s="30"/>
    </row>
    <row r="126" spans="2:15" ht="15.6" thickBot="1" x14ac:dyDescent="0.3">
      <c r="B126" s="113"/>
      <c r="C126" s="110"/>
      <c r="D126" s="37"/>
      <c r="E126" s="38"/>
      <c r="F126" s="38"/>
      <c r="G126" s="38"/>
      <c r="H126" s="38"/>
      <c r="I126" s="38"/>
      <c r="J126" s="38"/>
      <c r="K126" s="38"/>
      <c r="L126" s="39"/>
    </row>
    <row r="127" spans="2:15" ht="8.25" customHeight="1" thickBot="1" x14ac:dyDescent="0.3"/>
    <row r="128" spans="2:15" x14ac:dyDescent="0.25">
      <c r="B128" s="111" t="s">
        <v>110</v>
      </c>
      <c r="C128" s="108" t="s">
        <v>105</v>
      </c>
      <c r="D128" s="22"/>
      <c r="E128" s="23"/>
      <c r="F128" s="24"/>
      <c r="G128" s="25"/>
      <c r="H128" s="25"/>
      <c r="I128" s="25"/>
      <c r="J128" s="25"/>
      <c r="K128" s="25"/>
      <c r="L128" s="26"/>
    </row>
    <row r="129" spans="2:15" ht="15.6" thickBot="1" x14ac:dyDescent="0.3">
      <c r="B129" s="112"/>
      <c r="C129" s="109"/>
      <c r="D129" s="27"/>
      <c r="E129" s="28"/>
      <c r="F129" s="29"/>
      <c r="L129" s="30"/>
    </row>
    <row r="130" spans="2:15" ht="16.2" thickBot="1" x14ac:dyDescent="0.35">
      <c r="B130" s="112"/>
      <c r="C130" s="109"/>
      <c r="D130" s="27"/>
      <c r="E130" s="31"/>
      <c r="F130" s="32" t="s">
        <v>0</v>
      </c>
      <c r="G130" s="33"/>
      <c r="H130" s="3" t="s">
        <v>2</v>
      </c>
      <c r="I130" s="33"/>
      <c r="J130" s="34" t="s">
        <v>3</v>
      </c>
      <c r="K130" s="33"/>
      <c r="L130" s="35" t="s">
        <v>4</v>
      </c>
      <c r="M130" s="2" t="str">
        <f>IF(E130="X","",IF(G130="X","",IF(I130="X","",IF(K130="X","","Elegir opción"))))</f>
        <v>Elegir opción</v>
      </c>
      <c r="N130" s="28" t="str">
        <f>IF(E130="X",3,IF(G130="X",2,IF(I130="X",1,IF(K130="X",0,"Promedio"))))</f>
        <v>Promedio</v>
      </c>
      <c r="O130" s="28"/>
    </row>
    <row r="131" spans="2:15" x14ac:dyDescent="0.25">
      <c r="B131" s="112"/>
      <c r="C131" s="109"/>
      <c r="D131" s="36"/>
      <c r="L131" s="30"/>
    </row>
    <row r="132" spans="2:15" x14ac:dyDescent="0.25">
      <c r="B132" s="112"/>
      <c r="C132" s="109"/>
      <c r="D132" s="36"/>
      <c r="L132" s="30"/>
    </row>
    <row r="133" spans="2:15" ht="15.6" thickBot="1" x14ac:dyDescent="0.3">
      <c r="B133" s="113"/>
      <c r="C133" s="110"/>
      <c r="D133" s="37"/>
      <c r="E133" s="38"/>
      <c r="F133" s="38"/>
      <c r="G133" s="38"/>
      <c r="H133" s="38"/>
      <c r="I133" s="38"/>
      <c r="J133" s="38"/>
      <c r="K133" s="38"/>
      <c r="L133" s="39"/>
    </row>
    <row r="134" spans="2:15" ht="8.25" customHeight="1" thickBot="1" x14ac:dyDescent="0.3"/>
    <row r="135" spans="2:15" x14ac:dyDescent="0.25">
      <c r="B135" s="111" t="s">
        <v>111</v>
      </c>
      <c r="C135" s="108" t="s">
        <v>106</v>
      </c>
      <c r="D135" s="22"/>
      <c r="E135" s="23"/>
      <c r="F135" s="24"/>
      <c r="G135" s="25"/>
      <c r="H135" s="25"/>
      <c r="I135" s="25"/>
      <c r="J135" s="25"/>
      <c r="K135" s="25"/>
      <c r="L135" s="26"/>
    </row>
    <row r="136" spans="2:15" ht="15.6" thickBot="1" x14ac:dyDescent="0.3">
      <c r="B136" s="112"/>
      <c r="C136" s="109"/>
      <c r="D136" s="27"/>
      <c r="E136" s="28"/>
      <c r="F136" s="29"/>
      <c r="L136" s="30"/>
    </row>
    <row r="137" spans="2:15" ht="16.2" thickBot="1" x14ac:dyDescent="0.35">
      <c r="B137" s="112"/>
      <c r="C137" s="109"/>
      <c r="D137" s="27"/>
      <c r="E137" s="31"/>
      <c r="F137" s="32" t="s">
        <v>0</v>
      </c>
      <c r="G137" s="33"/>
      <c r="H137" s="3" t="s">
        <v>2</v>
      </c>
      <c r="I137" s="33"/>
      <c r="J137" s="34" t="s">
        <v>3</v>
      </c>
      <c r="K137" s="33"/>
      <c r="L137" s="35" t="s">
        <v>4</v>
      </c>
      <c r="M137" s="2" t="str">
        <f>IF(E137="X","",IF(G137="X","",IF(I137="X","",IF(K137="X","","Elegir opción"))))</f>
        <v>Elegir opción</v>
      </c>
      <c r="N137" s="28" t="str">
        <f>IF(E137="X",3,IF(G137="X",2,IF(I137="X",1,IF(K137="X",0,"Promedio"))))</f>
        <v>Promedio</v>
      </c>
      <c r="O137" s="28"/>
    </row>
    <row r="138" spans="2:15" x14ac:dyDescent="0.25">
      <c r="B138" s="112"/>
      <c r="C138" s="109"/>
      <c r="D138" s="36"/>
      <c r="L138" s="30"/>
    </row>
    <row r="139" spans="2:15" x14ac:dyDescent="0.25">
      <c r="B139" s="112"/>
      <c r="C139" s="109"/>
      <c r="D139" s="36"/>
      <c r="L139" s="30"/>
    </row>
    <row r="140" spans="2:15" ht="15.6" thickBot="1" x14ac:dyDescent="0.3">
      <c r="B140" s="113"/>
      <c r="C140" s="110"/>
      <c r="D140" s="37"/>
      <c r="E140" s="38"/>
      <c r="F140" s="38"/>
      <c r="G140" s="38"/>
      <c r="H140" s="38"/>
      <c r="I140" s="38"/>
      <c r="J140" s="38"/>
      <c r="K140" s="38"/>
      <c r="L140" s="39"/>
    </row>
    <row r="142" spans="2:15" ht="15.6" x14ac:dyDescent="0.3">
      <c r="E142" s="3"/>
      <c r="F142" s="3"/>
      <c r="G142" s="3"/>
      <c r="H142" s="3"/>
      <c r="I142" s="3"/>
      <c r="J142" s="3"/>
      <c r="K142" s="3"/>
    </row>
    <row r="143" spans="2:15" ht="15.6" x14ac:dyDescent="0.3">
      <c r="B143" s="3" t="s">
        <v>432</v>
      </c>
    </row>
    <row r="144" spans="2:15" ht="15.6" thickBot="1" x14ac:dyDescent="0.3"/>
    <row r="145" spans="2:15" x14ac:dyDescent="0.25">
      <c r="B145" s="111" t="s">
        <v>124</v>
      </c>
      <c r="C145" s="108" t="s">
        <v>112</v>
      </c>
      <c r="D145" s="22"/>
      <c r="E145" s="23"/>
      <c r="F145" s="24"/>
      <c r="G145" s="25"/>
      <c r="H145" s="25"/>
      <c r="I145" s="25"/>
      <c r="J145" s="25"/>
      <c r="K145" s="25"/>
      <c r="L145" s="26"/>
    </row>
    <row r="146" spans="2:15" ht="15.6" thickBot="1" x14ac:dyDescent="0.3">
      <c r="B146" s="112"/>
      <c r="C146" s="109"/>
      <c r="D146" s="27"/>
      <c r="E146" s="28"/>
      <c r="F146" s="29"/>
      <c r="L146" s="30"/>
    </row>
    <row r="147" spans="2:15" ht="16.2" thickBot="1" x14ac:dyDescent="0.35">
      <c r="B147" s="112"/>
      <c r="C147" s="109"/>
      <c r="D147" s="27"/>
      <c r="E147" s="31"/>
      <c r="F147" s="32" t="s">
        <v>0</v>
      </c>
      <c r="G147" s="33"/>
      <c r="H147" s="3" t="s">
        <v>2</v>
      </c>
      <c r="I147" s="33"/>
      <c r="J147" s="34" t="s">
        <v>3</v>
      </c>
      <c r="K147" s="33"/>
      <c r="L147" s="35" t="s">
        <v>4</v>
      </c>
      <c r="M147" s="2" t="str">
        <f>IF(E147="X","",IF(G147="X","",IF(I147="X","",IF(K147="X","","Elegir opción"))))</f>
        <v>Elegir opción</v>
      </c>
      <c r="N147" s="28" t="str">
        <f>IF(E147="X",3,IF(G147="X",2,IF(I147="X",1,IF(K147="X",0,"Promedio"))))</f>
        <v>Promedio</v>
      </c>
      <c r="O147" s="28"/>
    </row>
    <row r="148" spans="2:15" x14ac:dyDescent="0.25">
      <c r="B148" s="112"/>
      <c r="C148" s="109"/>
      <c r="D148" s="36"/>
      <c r="L148" s="30"/>
    </row>
    <row r="149" spans="2:15" x14ac:dyDescent="0.25">
      <c r="B149" s="112"/>
      <c r="C149" s="109"/>
      <c r="D149" s="36"/>
      <c r="L149" s="30"/>
    </row>
    <row r="150" spans="2:15" ht="15.6" thickBot="1" x14ac:dyDescent="0.3">
      <c r="B150" s="113"/>
      <c r="C150" s="110"/>
      <c r="D150" s="37"/>
      <c r="E150" s="38"/>
      <c r="F150" s="38"/>
      <c r="G150" s="38"/>
      <c r="H150" s="38"/>
      <c r="I150" s="38"/>
      <c r="J150" s="38"/>
      <c r="K150" s="38"/>
      <c r="L150" s="39"/>
    </row>
    <row r="151" spans="2:15" ht="8.4" customHeight="1" thickBot="1" x14ac:dyDescent="0.3"/>
    <row r="152" spans="2:15" x14ac:dyDescent="0.25">
      <c r="B152" s="111" t="s">
        <v>125</v>
      </c>
      <c r="C152" s="108" t="s">
        <v>113</v>
      </c>
      <c r="D152" s="22"/>
      <c r="E152" s="23"/>
      <c r="F152" s="24"/>
      <c r="G152" s="25"/>
      <c r="H152" s="25"/>
      <c r="I152" s="25"/>
      <c r="J152" s="25"/>
      <c r="K152" s="25"/>
      <c r="L152" s="26"/>
    </row>
    <row r="153" spans="2:15" ht="15.6" thickBot="1" x14ac:dyDescent="0.3">
      <c r="B153" s="112"/>
      <c r="C153" s="109"/>
      <c r="D153" s="27"/>
      <c r="E153" s="28"/>
      <c r="F153" s="29"/>
      <c r="L153" s="30"/>
    </row>
    <row r="154" spans="2:15" ht="16.2" thickBot="1" x14ac:dyDescent="0.35">
      <c r="B154" s="112"/>
      <c r="C154" s="109"/>
      <c r="D154" s="27"/>
      <c r="E154" s="31"/>
      <c r="F154" s="32" t="s">
        <v>0</v>
      </c>
      <c r="G154" s="33"/>
      <c r="H154" s="3" t="s">
        <v>2</v>
      </c>
      <c r="I154" s="33"/>
      <c r="J154" s="34" t="s">
        <v>3</v>
      </c>
      <c r="K154" s="33"/>
      <c r="L154" s="35" t="s">
        <v>4</v>
      </c>
      <c r="M154" s="2" t="str">
        <f>IF(E154="X","",IF(G154="X","",IF(I154="X","",IF(K154="X","","Elegir opción"))))</f>
        <v>Elegir opción</v>
      </c>
      <c r="N154" s="28" t="str">
        <f>IF(E154="X",3,IF(G154="X",2,IF(I154="X",1,IF(K154="X",0,"Promedio"))))</f>
        <v>Promedio</v>
      </c>
      <c r="O154" s="28"/>
    </row>
    <row r="155" spans="2:15" x14ac:dyDescent="0.25">
      <c r="B155" s="112"/>
      <c r="C155" s="109"/>
      <c r="D155" s="36"/>
      <c r="L155" s="30"/>
    </row>
    <row r="156" spans="2:15" x14ac:dyDescent="0.25">
      <c r="B156" s="112"/>
      <c r="C156" s="109"/>
      <c r="D156" s="36"/>
      <c r="L156" s="30"/>
    </row>
    <row r="157" spans="2:15" ht="15.6" thickBot="1" x14ac:dyDescent="0.3">
      <c r="B157" s="113"/>
      <c r="C157" s="110"/>
      <c r="D157" s="37"/>
      <c r="E157" s="38"/>
      <c r="F157" s="38"/>
      <c r="G157" s="38"/>
      <c r="H157" s="38"/>
      <c r="I157" s="38"/>
      <c r="J157" s="38"/>
      <c r="K157" s="38"/>
      <c r="L157" s="39"/>
    </row>
    <row r="158" spans="2:15" ht="8.4" customHeight="1" thickBot="1" x14ac:dyDescent="0.3"/>
    <row r="159" spans="2:15" x14ac:dyDescent="0.25">
      <c r="B159" s="111" t="s">
        <v>126</v>
      </c>
      <c r="C159" s="108" t="s">
        <v>114</v>
      </c>
      <c r="D159" s="22"/>
      <c r="E159" s="23"/>
      <c r="F159" s="24"/>
      <c r="G159" s="25"/>
      <c r="H159" s="25"/>
      <c r="I159" s="25"/>
      <c r="J159" s="25"/>
      <c r="K159" s="25"/>
      <c r="L159" s="26"/>
    </row>
    <row r="160" spans="2:15" ht="15.6" thickBot="1" x14ac:dyDescent="0.3">
      <c r="B160" s="112"/>
      <c r="C160" s="109"/>
      <c r="D160" s="27"/>
      <c r="E160" s="28"/>
      <c r="F160" s="29"/>
      <c r="L160" s="30"/>
    </row>
    <row r="161" spans="2:15" ht="16.2" thickBot="1" x14ac:dyDescent="0.35">
      <c r="B161" s="112"/>
      <c r="C161" s="109"/>
      <c r="D161" s="27"/>
      <c r="E161" s="31"/>
      <c r="F161" s="32" t="s">
        <v>0</v>
      </c>
      <c r="G161" s="33"/>
      <c r="H161" s="3" t="s">
        <v>2</v>
      </c>
      <c r="I161" s="33"/>
      <c r="J161" s="34" t="s">
        <v>3</v>
      </c>
      <c r="K161" s="33"/>
      <c r="L161" s="35" t="s">
        <v>4</v>
      </c>
      <c r="M161" s="2" t="str">
        <f>IF(E161="X","",IF(G161="X","",IF(I161="X","",IF(K161="X","","Elegir opción"))))</f>
        <v>Elegir opción</v>
      </c>
      <c r="N161" s="28" t="str">
        <f>IF(E161="X",3,IF(G161="X",2,IF(I161="X",1,IF(K161="X",0,"Promedio"))))</f>
        <v>Promedio</v>
      </c>
      <c r="O161" s="28"/>
    </row>
    <row r="162" spans="2:15" x14ac:dyDescent="0.25">
      <c r="B162" s="112"/>
      <c r="C162" s="109"/>
      <c r="D162" s="36"/>
      <c r="L162" s="30"/>
    </row>
    <row r="163" spans="2:15" x14ac:dyDescent="0.25">
      <c r="B163" s="112"/>
      <c r="C163" s="109"/>
      <c r="D163" s="36"/>
      <c r="L163" s="30"/>
    </row>
    <row r="164" spans="2:15" ht="15.6" thickBot="1" x14ac:dyDescent="0.3">
      <c r="B164" s="113"/>
      <c r="C164" s="110"/>
      <c r="D164" s="37"/>
      <c r="E164" s="38"/>
      <c r="F164" s="38"/>
      <c r="G164" s="38"/>
      <c r="H164" s="38"/>
      <c r="I164" s="38"/>
      <c r="J164" s="38"/>
      <c r="K164" s="38"/>
      <c r="L164" s="39"/>
    </row>
    <row r="165" spans="2:15" ht="8.4" customHeight="1" thickBot="1" x14ac:dyDescent="0.3"/>
    <row r="166" spans="2:15" x14ac:dyDescent="0.25">
      <c r="B166" s="111" t="s">
        <v>127</v>
      </c>
      <c r="C166" s="108" t="s">
        <v>115</v>
      </c>
      <c r="D166" s="22"/>
      <c r="E166" s="23"/>
      <c r="F166" s="24"/>
      <c r="G166" s="25"/>
      <c r="H166" s="25"/>
      <c r="I166" s="25"/>
      <c r="J166" s="25"/>
      <c r="K166" s="25"/>
      <c r="L166" s="26"/>
    </row>
    <row r="167" spans="2:15" ht="15.6" thickBot="1" x14ac:dyDescent="0.3">
      <c r="B167" s="112"/>
      <c r="C167" s="109"/>
      <c r="D167" s="27"/>
      <c r="E167" s="28"/>
      <c r="F167" s="29"/>
      <c r="L167" s="30"/>
    </row>
    <row r="168" spans="2:15" ht="16.2" thickBot="1" x14ac:dyDescent="0.35">
      <c r="B168" s="112"/>
      <c r="C168" s="109"/>
      <c r="D168" s="27"/>
      <c r="E168" s="31"/>
      <c r="F168" s="32" t="s">
        <v>0</v>
      </c>
      <c r="G168" s="33"/>
      <c r="H168" s="3" t="s">
        <v>2</v>
      </c>
      <c r="I168" s="33"/>
      <c r="J168" s="34" t="s">
        <v>3</v>
      </c>
      <c r="K168" s="33"/>
      <c r="L168" s="35" t="s">
        <v>4</v>
      </c>
      <c r="M168" s="2" t="str">
        <f>IF(E168="X","",IF(G168="X","",IF(I168="X","",IF(K168="X","","Elegir opción"))))</f>
        <v>Elegir opción</v>
      </c>
      <c r="N168" s="28" t="str">
        <f>IF(E168="X",3,IF(G168="X",2,IF(I168="X",1,IF(K168="X",0,"Promedio"))))</f>
        <v>Promedio</v>
      </c>
      <c r="O168" s="28"/>
    </row>
    <row r="169" spans="2:15" x14ac:dyDescent="0.25">
      <c r="B169" s="112"/>
      <c r="C169" s="109"/>
      <c r="D169" s="36"/>
      <c r="L169" s="30"/>
    </row>
    <row r="170" spans="2:15" x14ac:dyDescent="0.25">
      <c r="B170" s="112"/>
      <c r="C170" s="109"/>
      <c r="D170" s="36"/>
      <c r="L170" s="30"/>
    </row>
    <row r="171" spans="2:15" ht="15.6" thickBot="1" x14ac:dyDescent="0.3">
      <c r="B171" s="113"/>
      <c r="C171" s="110"/>
      <c r="D171" s="37"/>
      <c r="E171" s="38"/>
      <c r="F171" s="38"/>
      <c r="G171" s="38"/>
      <c r="H171" s="38"/>
      <c r="I171" s="38"/>
      <c r="J171" s="38"/>
      <c r="K171" s="38"/>
      <c r="L171" s="39"/>
    </row>
    <row r="172" spans="2:15" ht="8.4" customHeight="1" thickBot="1" x14ac:dyDescent="0.3"/>
    <row r="173" spans="2:15" x14ac:dyDescent="0.25">
      <c r="B173" s="111" t="s">
        <v>128</v>
      </c>
      <c r="C173" s="108" t="s">
        <v>116</v>
      </c>
      <c r="D173" s="22"/>
      <c r="E173" s="23"/>
      <c r="F173" s="24"/>
      <c r="G173" s="25"/>
      <c r="H173" s="25"/>
      <c r="I173" s="25"/>
      <c r="J173" s="25"/>
      <c r="K173" s="25"/>
      <c r="L173" s="26"/>
    </row>
    <row r="174" spans="2:15" ht="15.6" thickBot="1" x14ac:dyDescent="0.3">
      <c r="B174" s="112"/>
      <c r="C174" s="109"/>
      <c r="D174" s="27"/>
      <c r="E174" s="28"/>
      <c r="F174" s="29"/>
      <c r="L174" s="30"/>
    </row>
    <row r="175" spans="2:15" ht="16.2" thickBot="1" x14ac:dyDescent="0.35">
      <c r="B175" s="112"/>
      <c r="C175" s="109"/>
      <c r="D175" s="27"/>
      <c r="E175" s="31"/>
      <c r="F175" s="32" t="s">
        <v>0</v>
      </c>
      <c r="G175" s="33"/>
      <c r="H175" s="3" t="s">
        <v>2</v>
      </c>
      <c r="I175" s="33"/>
      <c r="J175" s="34" t="s">
        <v>3</v>
      </c>
      <c r="K175" s="33"/>
      <c r="L175" s="35" t="s">
        <v>4</v>
      </c>
      <c r="M175" s="2" t="str">
        <f>IF(E175="X","",IF(G175="X","",IF(I175="X","",IF(K175="X","","Elegir opción"))))</f>
        <v>Elegir opción</v>
      </c>
      <c r="N175" s="28" t="str">
        <f>IF(E175="X",3,IF(G175="X",2,IF(I175="X",1,IF(K175="X",0,"Promedio"))))</f>
        <v>Promedio</v>
      </c>
      <c r="O175" s="28"/>
    </row>
    <row r="176" spans="2:15" x14ac:dyDescent="0.25">
      <c r="B176" s="112"/>
      <c r="C176" s="109"/>
      <c r="D176" s="36"/>
      <c r="L176" s="30"/>
    </row>
    <row r="177" spans="2:15" x14ac:dyDescent="0.25">
      <c r="B177" s="112"/>
      <c r="C177" s="109"/>
      <c r="D177" s="36"/>
      <c r="L177" s="30"/>
    </row>
    <row r="178" spans="2:15" ht="15.6" thickBot="1" x14ac:dyDescent="0.3">
      <c r="B178" s="113"/>
      <c r="C178" s="110"/>
      <c r="D178" s="37"/>
      <c r="E178" s="38"/>
      <c r="F178" s="38"/>
      <c r="G178" s="38"/>
      <c r="H178" s="38"/>
      <c r="I178" s="38"/>
      <c r="J178" s="38"/>
      <c r="K178" s="38"/>
      <c r="L178" s="39"/>
    </row>
    <row r="179" spans="2:15" ht="8.4" customHeight="1" thickBot="1" x14ac:dyDescent="0.3"/>
    <row r="180" spans="2:15" x14ac:dyDescent="0.25">
      <c r="B180" s="111" t="s">
        <v>129</v>
      </c>
      <c r="C180" s="108" t="s">
        <v>117</v>
      </c>
      <c r="D180" s="22"/>
      <c r="E180" s="23"/>
      <c r="F180" s="24"/>
      <c r="G180" s="25"/>
      <c r="H180" s="25"/>
      <c r="I180" s="25"/>
      <c r="J180" s="25"/>
      <c r="K180" s="25"/>
      <c r="L180" s="26"/>
    </row>
    <row r="181" spans="2:15" ht="15.6" thickBot="1" x14ac:dyDescent="0.3">
      <c r="B181" s="112"/>
      <c r="C181" s="109"/>
      <c r="D181" s="27"/>
      <c r="E181" s="28"/>
      <c r="F181" s="29"/>
      <c r="L181" s="30"/>
    </row>
    <row r="182" spans="2:15" ht="16.2" thickBot="1" x14ac:dyDescent="0.35">
      <c r="B182" s="112"/>
      <c r="C182" s="109"/>
      <c r="D182" s="27"/>
      <c r="E182" s="31"/>
      <c r="F182" s="32" t="s">
        <v>0</v>
      </c>
      <c r="G182" s="33"/>
      <c r="H182" s="3" t="s">
        <v>2</v>
      </c>
      <c r="I182" s="33"/>
      <c r="J182" s="34" t="s">
        <v>3</v>
      </c>
      <c r="K182" s="33"/>
      <c r="L182" s="35" t="s">
        <v>4</v>
      </c>
      <c r="M182" s="2" t="str">
        <f>IF(E182="X","",IF(G182="X","",IF(I182="X","",IF(K182="X","","Elegir opción"))))</f>
        <v>Elegir opción</v>
      </c>
      <c r="N182" s="28" t="str">
        <f>IF(E182="X",3,IF(G182="X",2,IF(I182="X",1,IF(K182="X",0,"Promedio"))))</f>
        <v>Promedio</v>
      </c>
      <c r="O182" s="28"/>
    </row>
    <row r="183" spans="2:15" x14ac:dyDescent="0.25">
      <c r="B183" s="112"/>
      <c r="C183" s="109"/>
      <c r="D183" s="36"/>
      <c r="L183" s="30"/>
    </row>
    <row r="184" spans="2:15" x14ac:dyDescent="0.25">
      <c r="B184" s="112"/>
      <c r="C184" s="109"/>
      <c r="D184" s="36"/>
      <c r="L184" s="30"/>
    </row>
    <row r="185" spans="2:15" ht="15.6" thickBot="1" x14ac:dyDescent="0.3">
      <c r="B185" s="113"/>
      <c r="C185" s="110"/>
      <c r="D185" s="37"/>
      <c r="E185" s="38"/>
      <c r="F185" s="38"/>
      <c r="G185" s="38"/>
      <c r="H185" s="38"/>
      <c r="I185" s="38"/>
      <c r="J185" s="38"/>
      <c r="K185" s="38"/>
      <c r="L185" s="39"/>
    </row>
    <row r="186" spans="2:15" ht="8.4" customHeight="1" thickBot="1" x14ac:dyDescent="0.3"/>
    <row r="187" spans="2:15" x14ac:dyDescent="0.25">
      <c r="B187" s="111" t="s">
        <v>130</v>
      </c>
      <c r="C187" s="108" t="s">
        <v>118</v>
      </c>
      <c r="D187" s="22"/>
      <c r="E187" s="23"/>
      <c r="F187" s="24"/>
      <c r="G187" s="25"/>
      <c r="H187" s="25"/>
      <c r="I187" s="25"/>
      <c r="J187" s="25"/>
      <c r="K187" s="25"/>
      <c r="L187" s="26"/>
    </row>
    <row r="188" spans="2:15" ht="15.6" thickBot="1" x14ac:dyDescent="0.3">
      <c r="B188" s="112"/>
      <c r="C188" s="109"/>
      <c r="D188" s="27"/>
      <c r="E188" s="28"/>
      <c r="F188" s="29"/>
      <c r="L188" s="30"/>
    </row>
    <row r="189" spans="2:15" ht="16.2" thickBot="1" x14ac:dyDescent="0.35">
      <c r="B189" s="112"/>
      <c r="C189" s="109"/>
      <c r="D189" s="27"/>
      <c r="E189" s="31"/>
      <c r="F189" s="32" t="s">
        <v>0</v>
      </c>
      <c r="G189" s="33"/>
      <c r="H189" s="3" t="s">
        <v>2</v>
      </c>
      <c r="I189" s="33"/>
      <c r="J189" s="34" t="s">
        <v>3</v>
      </c>
      <c r="K189" s="33"/>
      <c r="L189" s="35" t="s">
        <v>4</v>
      </c>
      <c r="M189" s="2" t="str">
        <f>IF(E189="X","",IF(G189="X","",IF(I189="X","",IF(K189="X","","Elegir opción"))))</f>
        <v>Elegir opción</v>
      </c>
      <c r="N189" s="28" t="str">
        <f>IF(E189="X",3,IF(G189="X",2,IF(I189="X",1,IF(K189="X",0,"Promedio"))))</f>
        <v>Promedio</v>
      </c>
      <c r="O189" s="28"/>
    </row>
    <row r="190" spans="2:15" x14ac:dyDescent="0.25">
      <c r="B190" s="112"/>
      <c r="C190" s="109"/>
      <c r="D190" s="36"/>
      <c r="L190" s="30"/>
    </row>
    <row r="191" spans="2:15" x14ac:dyDescent="0.25">
      <c r="B191" s="112"/>
      <c r="C191" s="109"/>
      <c r="D191" s="36"/>
      <c r="L191" s="30"/>
    </row>
    <row r="192" spans="2:15" ht="15.6" thickBot="1" x14ac:dyDescent="0.3">
      <c r="B192" s="113"/>
      <c r="C192" s="110"/>
      <c r="D192" s="37"/>
      <c r="E192" s="38"/>
      <c r="F192" s="38"/>
      <c r="G192" s="38"/>
      <c r="H192" s="38"/>
      <c r="I192" s="38"/>
      <c r="J192" s="38"/>
      <c r="K192" s="38"/>
      <c r="L192" s="39"/>
    </row>
    <row r="193" spans="2:15" ht="8.4" customHeight="1" thickBot="1" x14ac:dyDescent="0.3"/>
    <row r="194" spans="2:15" x14ac:dyDescent="0.25">
      <c r="B194" s="111" t="s">
        <v>131</v>
      </c>
      <c r="C194" s="108" t="s">
        <v>119</v>
      </c>
      <c r="D194" s="22"/>
      <c r="E194" s="23"/>
      <c r="F194" s="24"/>
      <c r="G194" s="25"/>
      <c r="H194" s="25"/>
      <c r="I194" s="25"/>
      <c r="J194" s="25"/>
      <c r="K194" s="25"/>
      <c r="L194" s="26"/>
    </row>
    <row r="195" spans="2:15" ht="15.6" thickBot="1" x14ac:dyDescent="0.3">
      <c r="B195" s="112"/>
      <c r="C195" s="109"/>
      <c r="D195" s="27"/>
      <c r="E195" s="28"/>
      <c r="F195" s="29"/>
      <c r="L195" s="30"/>
    </row>
    <row r="196" spans="2:15" ht="16.2" thickBot="1" x14ac:dyDescent="0.35">
      <c r="B196" s="112"/>
      <c r="C196" s="109"/>
      <c r="D196" s="27"/>
      <c r="E196" s="31"/>
      <c r="F196" s="32" t="s">
        <v>0</v>
      </c>
      <c r="G196" s="33"/>
      <c r="H196" s="3" t="s">
        <v>2</v>
      </c>
      <c r="I196" s="33"/>
      <c r="J196" s="34" t="s">
        <v>3</v>
      </c>
      <c r="K196" s="33"/>
      <c r="L196" s="35" t="s">
        <v>4</v>
      </c>
      <c r="M196" s="2" t="str">
        <f>IF(E196="X","",IF(G196="X","",IF(I196="X","",IF(K196="X","","Elegir opción"))))</f>
        <v>Elegir opción</v>
      </c>
      <c r="N196" s="28" t="str">
        <f>IF(E196="X",3,IF(G196="X",2,IF(I196="X",1,IF(K196="X",0,"Promedio"))))</f>
        <v>Promedio</v>
      </c>
      <c r="O196" s="28"/>
    </row>
    <row r="197" spans="2:15" x14ac:dyDescent="0.25">
      <c r="B197" s="112"/>
      <c r="C197" s="109"/>
      <c r="D197" s="36"/>
      <c r="L197" s="30"/>
    </row>
    <row r="198" spans="2:15" x14ac:dyDescent="0.25">
      <c r="B198" s="112"/>
      <c r="C198" s="109"/>
      <c r="D198" s="36"/>
      <c r="L198" s="30"/>
    </row>
    <row r="199" spans="2:15" ht="15.6" thickBot="1" x14ac:dyDescent="0.3">
      <c r="B199" s="113"/>
      <c r="C199" s="110"/>
      <c r="D199" s="37"/>
      <c r="E199" s="38"/>
      <c r="F199" s="38"/>
      <c r="G199" s="38"/>
      <c r="H199" s="38"/>
      <c r="I199" s="38"/>
      <c r="J199" s="38"/>
      <c r="K199" s="38"/>
      <c r="L199" s="39"/>
    </row>
    <row r="200" spans="2:15" ht="8.4" customHeight="1" thickBot="1" x14ac:dyDescent="0.3"/>
    <row r="201" spans="2:15" x14ac:dyDescent="0.25">
      <c r="B201" s="111" t="s">
        <v>132</v>
      </c>
      <c r="C201" s="108" t="s">
        <v>120</v>
      </c>
      <c r="D201" s="22"/>
      <c r="E201" s="23"/>
      <c r="F201" s="24"/>
      <c r="G201" s="25"/>
      <c r="H201" s="25"/>
      <c r="I201" s="25"/>
      <c r="J201" s="25"/>
      <c r="K201" s="25"/>
      <c r="L201" s="26"/>
    </row>
    <row r="202" spans="2:15" ht="15.6" thickBot="1" x14ac:dyDescent="0.3">
      <c r="B202" s="112"/>
      <c r="C202" s="109"/>
      <c r="D202" s="27"/>
      <c r="E202" s="28"/>
      <c r="F202" s="29"/>
      <c r="L202" s="30"/>
    </row>
    <row r="203" spans="2:15" ht="16.2" thickBot="1" x14ac:dyDescent="0.35">
      <c r="B203" s="112"/>
      <c r="C203" s="109"/>
      <c r="D203" s="27"/>
      <c r="E203" s="31"/>
      <c r="F203" s="32" t="s">
        <v>0</v>
      </c>
      <c r="G203" s="33"/>
      <c r="H203" s="3" t="s">
        <v>2</v>
      </c>
      <c r="I203" s="33"/>
      <c r="J203" s="34" t="s">
        <v>3</v>
      </c>
      <c r="K203" s="33"/>
      <c r="L203" s="35" t="s">
        <v>4</v>
      </c>
      <c r="M203" s="2" t="str">
        <f>IF(E203="X","",IF(G203="X","",IF(I203="X","",IF(K203="X","","Elegir opción"))))</f>
        <v>Elegir opción</v>
      </c>
      <c r="N203" s="28" t="str">
        <f>IF(E203="X",3,IF(G203="X",2,IF(I203="X",1,IF(K203="X",0,"Promedio"))))</f>
        <v>Promedio</v>
      </c>
      <c r="O203" s="28"/>
    </row>
    <row r="204" spans="2:15" x14ac:dyDescent="0.25">
      <c r="B204" s="112"/>
      <c r="C204" s="109"/>
      <c r="D204" s="36"/>
      <c r="L204" s="30"/>
    </row>
    <row r="205" spans="2:15" x14ac:dyDescent="0.25">
      <c r="B205" s="112"/>
      <c r="C205" s="109"/>
      <c r="D205" s="36"/>
      <c r="L205" s="30"/>
    </row>
    <row r="206" spans="2:15" ht="15.6" thickBot="1" x14ac:dyDescent="0.3">
      <c r="B206" s="113"/>
      <c r="C206" s="110"/>
      <c r="D206" s="37"/>
      <c r="E206" s="38"/>
      <c r="F206" s="38"/>
      <c r="G206" s="38"/>
      <c r="H206" s="38"/>
      <c r="I206" s="38"/>
      <c r="J206" s="38"/>
      <c r="K206" s="38"/>
      <c r="L206" s="39"/>
    </row>
    <row r="207" spans="2:15" ht="8.4" customHeight="1" thickBot="1" x14ac:dyDescent="0.3"/>
    <row r="208" spans="2:15" x14ac:dyDescent="0.25">
      <c r="B208" s="111" t="s">
        <v>133</v>
      </c>
      <c r="C208" s="108" t="s">
        <v>121</v>
      </c>
      <c r="D208" s="22"/>
      <c r="E208" s="23"/>
      <c r="F208" s="24"/>
      <c r="G208" s="25"/>
      <c r="H208" s="25"/>
      <c r="I208" s="25"/>
      <c r="J208" s="25"/>
      <c r="K208" s="25"/>
      <c r="L208" s="26"/>
    </row>
    <row r="209" spans="2:15" ht="15.6" thickBot="1" x14ac:dyDescent="0.3">
      <c r="B209" s="112"/>
      <c r="C209" s="109"/>
      <c r="D209" s="27"/>
      <c r="E209" s="28"/>
      <c r="F209" s="29"/>
      <c r="L209" s="30"/>
    </row>
    <row r="210" spans="2:15" ht="16.2" thickBot="1" x14ac:dyDescent="0.35">
      <c r="B210" s="112"/>
      <c r="C210" s="109"/>
      <c r="D210" s="27"/>
      <c r="E210" s="31"/>
      <c r="F210" s="32" t="s">
        <v>0</v>
      </c>
      <c r="G210" s="33"/>
      <c r="H210" s="3" t="s">
        <v>2</v>
      </c>
      <c r="I210" s="33"/>
      <c r="J210" s="34" t="s">
        <v>3</v>
      </c>
      <c r="K210" s="33"/>
      <c r="L210" s="35" t="s">
        <v>4</v>
      </c>
      <c r="M210" s="2" t="str">
        <f>IF(E210="X","",IF(G210="X","",IF(I210="X","",IF(K210="X","","Elegir opción"))))</f>
        <v>Elegir opción</v>
      </c>
      <c r="N210" s="28" t="str">
        <f>IF(E210="X",3,IF(G210="X",2,IF(I210="X",1,IF(K210="X",0,"Promedio"))))</f>
        <v>Promedio</v>
      </c>
      <c r="O210" s="28"/>
    </row>
    <row r="211" spans="2:15" x14ac:dyDescent="0.25">
      <c r="B211" s="112"/>
      <c r="C211" s="109"/>
      <c r="D211" s="36"/>
      <c r="L211" s="30"/>
    </row>
    <row r="212" spans="2:15" x14ac:dyDescent="0.25">
      <c r="B212" s="112"/>
      <c r="C212" s="109"/>
      <c r="D212" s="36"/>
      <c r="L212" s="30"/>
    </row>
    <row r="213" spans="2:15" ht="15.6" thickBot="1" x14ac:dyDescent="0.3">
      <c r="B213" s="113"/>
      <c r="C213" s="110"/>
      <c r="D213" s="37"/>
      <c r="E213" s="38"/>
      <c r="F213" s="38"/>
      <c r="G213" s="38"/>
      <c r="H213" s="38"/>
      <c r="I213" s="38"/>
      <c r="J213" s="38"/>
      <c r="K213" s="38"/>
      <c r="L213" s="39"/>
    </row>
    <row r="214" spans="2:15" ht="8.4" customHeight="1" thickBot="1" x14ac:dyDescent="0.3"/>
    <row r="215" spans="2:15" x14ac:dyDescent="0.25">
      <c r="B215" s="111" t="s">
        <v>134</v>
      </c>
      <c r="C215" s="108" t="s">
        <v>122</v>
      </c>
      <c r="D215" s="22"/>
      <c r="E215" s="23"/>
      <c r="F215" s="24"/>
      <c r="G215" s="25"/>
      <c r="H215" s="25"/>
      <c r="I215" s="25"/>
      <c r="J215" s="25"/>
      <c r="K215" s="25"/>
      <c r="L215" s="26"/>
    </row>
    <row r="216" spans="2:15" ht="15.6" thickBot="1" x14ac:dyDescent="0.3">
      <c r="B216" s="112"/>
      <c r="C216" s="109"/>
      <c r="D216" s="27"/>
      <c r="E216" s="28"/>
      <c r="F216" s="29"/>
      <c r="L216" s="30"/>
    </row>
    <row r="217" spans="2:15" ht="16.2" thickBot="1" x14ac:dyDescent="0.35">
      <c r="B217" s="112"/>
      <c r="C217" s="109"/>
      <c r="D217" s="27"/>
      <c r="E217" s="31"/>
      <c r="F217" s="32" t="s">
        <v>0</v>
      </c>
      <c r="G217" s="33"/>
      <c r="H217" s="3" t="s">
        <v>2</v>
      </c>
      <c r="I217" s="33"/>
      <c r="J217" s="34" t="s">
        <v>3</v>
      </c>
      <c r="K217" s="33"/>
      <c r="L217" s="35" t="s">
        <v>4</v>
      </c>
      <c r="M217" s="2" t="str">
        <f>IF(E217="X","",IF(G217="X","",IF(I217="X","",IF(K217="X","","Elegir opción"))))</f>
        <v>Elegir opción</v>
      </c>
      <c r="N217" s="28" t="str">
        <f>IF(E217="X",3,IF(G217="X",2,IF(I217="X",1,IF(K217="X",0,"Promedio"))))</f>
        <v>Promedio</v>
      </c>
      <c r="O217" s="28"/>
    </row>
    <row r="218" spans="2:15" x14ac:dyDescent="0.25">
      <c r="B218" s="112"/>
      <c r="C218" s="109"/>
      <c r="D218" s="36"/>
      <c r="L218" s="30"/>
    </row>
    <row r="219" spans="2:15" x14ac:dyDescent="0.25">
      <c r="B219" s="112"/>
      <c r="C219" s="109"/>
      <c r="D219" s="36"/>
      <c r="L219" s="30"/>
    </row>
    <row r="220" spans="2:15" ht="15.6" thickBot="1" x14ac:dyDescent="0.3">
      <c r="B220" s="113"/>
      <c r="C220" s="110"/>
      <c r="D220" s="37"/>
      <c r="E220" s="38"/>
      <c r="F220" s="38"/>
      <c r="G220" s="38"/>
      <c r="H220" s="38"/>
      <c r="I220" s="38"/>
      <c r="J220" s="38"/>
      <c r="K220" s="38"/>
      <c r="L220" s="39"/>
    </row>
    <row r="221" spans="2:15" ht="8.4" customHeight="1" thickBot="1" x14ac:dyDescent="0.3"/>
    <row r="222" spans="2:15" x14ac:dyDescent="0.25">
      <c r="B222" s="111" t="s">
        <v>135</v>
      </c>
      <c r="C222" s="108" t="s">
        <v>123</v>
      </c>
      <c r="D222" s="22"/>
      <c r="E222" s="23"/>
      <c r="F222" s="24"/>
      <c r="G222" s="25"/>
      <c r="H222" s="25"/>
      <c r="I222" s="25"/>
      <c r="J222" s="25"/>
      <c r="K222" s="25"/>
      <c r="L222" s="26"/>
    </row>
    <row r="223" spans="2:15" ht="15.6" thickBot="1" x14ac:dyDescent="0.3">
      <c r="B223" s="112"/>
      <c r="C223" s="109"/>
      <c r="D223" s="27"/>
      <c r="E223" s="28"/>
      <c r="F223" s="29"/>
      <c r="L223" s="30"/>
    </row>
    <row r="224" spans="2:15" ht="16.2" thickBot="1" x14ac:dyDescent="0.35">
      <c r="B224" s="112"/>
      <c r="C224" s="109"/>
      <c r="D224" s="27"/>
      <c r="E224" s="31"/>
      <c r="F224" s="32" t="s">
        <v>0</v>
      </c>
      <c r="G224" s="33"/>
      <c r="H224" s="3" t="s">
        <v>2</v>
      </c>
      <c r="I224" s="33"/>
      <c r="J224" s="34" t="s">
        <v>3</v>
      </c>
      <c r="K224" s="33"/>
      <c r="L224" s="35" t="s">
        <v>4</v>
      </c>
      <c r="M224" s="2" t="str">
        <f>IF(E224="X","",IF(G224="X","",IF(I224="X","",IF(K224="X","","Elegir opción"))))</f>
        <v>Elegir opción</v>
      </c>
      <c r="N224" s="28" t="str">
        <f>IF(E224="X",3,IF(G224="X",2,IF(I224="X",1,IF(K224="X",0,"Promedio"))))</f>
        <v>Promedio</v>
      </c>
      <c r="O224" s="28"/>
    </row>
    <row r="225" spans="2:15" x14ac:dyDescent="0.25">
      <c r="B225" s="112"/>
      <c r="C225" s="109"/>
      <c r="D225" s="36"/>
      <c r="L225" s="30"/>
    </row>
    <row r="226" spans="2:15" x14ac:dyDescent="0.25">
      <c r="B226" s="112"/>
      <c r="C226" s="109"/>
      <c r="D226" s="36"/>
      <c r="L226" s="30"/>
    </row>
    <row r="227" spans="2:15" ht="15.6" thickBot="1" x14ac:dyDescent="0.3">
      <c r="B227" s="113"/>
      <c r="C227" s="110"/>
      <c r="D227" s="37"/>
      <c r="E227" s="38"/>
      <c r="F227" s="38"/>
      <c r="G227" s="38"/>
      <c r="H227" s="38"/>
      <c r="I227" s="38"/>
      <c r="J227" s="38"/>
      <c r="K227" s="38"/>
      <c r="L227" s="39"/>
    </row>
    <row r="230" spans="2:15" ht="15.6" x14ac:dyDescent="0.3">
      <c r="E230" s="3"/>
      <c r="F230" s="3"/>
      <c r="G230" s="3"/>
      <c r="H230" s="3"/>
      <c r="I230" s="3"/>
      <c r="J230" s="3"/>
      <c r="K230" s="3"/>
    </row>
    <row r="231" spans="2:15" ht="15.6" x14ac:dyDescent="0.3">
      <c r="B231" s="3" t="s">
        <v>433</v>
      </c>
    </row>
    <row r="232" spans="2:15" ht="15.6" thickBot="1" x14ac:dyDescent="0.3"/>
    <row r="233" spans="2:15" x14ac:dyDescent="0.25">
      <c r="B233" s="111" t="s">
        <v>137</v>
      </c>
      <c r="C233" s="108" t="s">
        <v>136</v>
      </c>
      <c r="D233" s="22"/>
      <c r="E233" s="23"/>
      <c r="F233" s="24"/>
      <c r="G233" s="25"/>
      <c r="H233" s="25"/>
      <c r="I233" s="25"/>
      <c r="J233" s="25"/>
      <c r="K233" s="25"/>
      <c r="L233" s="26"/>
    </row>
    <row r="234" spans="2:15" ht="15.6" thickBot="1" x14ac:dyDescent="0.3">
      <c r="B234" s="112"/>
      <c r="C234" s="109"/>
      <c r="D234" s="27"/>
      <c r="E234" s="28"/>
      <c r="F234" s="29"/>
      <c r="L234" s="30"/>
    </row>
    <row r="235" spans="2:15" ht="16.2" thickBot="1" x14ac:dyDescent="0.35">
      <c r="B235" s="112"/>
      <c r="C235" s="109"/>
      <c r="D235" s="27"/>
      <c r="E235" s="31"/>
      <c r="F235" s="32" t="s">
        <v>0</v>
      </c>
      <c r="G235" s="33"/>
      <c r="H235" s="3" t="s">
        <v>2</v>
      </c>
      <c r="I235" s="33"/>
      <c r="J235" s="34" t="s">
        <v>3</v>
      </c>
      <c r="K235" s="33"/>
      <c r="L235" s="35" t="s">
        <v>4</v>
      </c>
      <c r="M235" s="2" t="str">
        <f>IF(E235="X","",IF(G235="X","",IF(I235="X","",IF(K235="X","","Elegir opción"))))</f>
        <v>Elegir opción</v>
      </c>
      <c r="N235" s="28" t="str">
        <f>IF(E235="X",3,IF(G235="X",2,IF(I235="X",1,IF(K235="X",0,"Promedio"))))</f>
        <v>Promedio</v>
      </c>
      <c r="O235" s="28"/>
    </row>
    <row r="236" spans="2:15" x14ac:dyDescent="0.25">
      <c r="B236" s="112"/>
      <c r="C236" s="109"/>
      <c r="D236" s="36"/>
      <c r="L236" s="30"/>
    </row>
    <row r="237" spans="2:15" x14ac:dyDescent="0.25">
      <c r="B237" s="112"/>
      <c r="C237" s="109"/>
      <c r="D237" s="36"/>
      <c r="L237" s="30"/>
    </row>
    <row r="238" spans="2:15" ht="15.6" thickBot="1" x14ac:dyDescent="0.3">
      <c r="B238" s="113"/>
      <c r="C238" s="110"/>
      <c r="D238" s="37"/>
      <c r="E238" s="38"/>
      <c r="F238" s="38"/>
      <c r="G238" s="38"/>
      <c r="H238" s="38"/>
      <c r="I238" s="38"/>
      <c r="J238" s="38"/>
      <c r="K238" s="38"/>
      <c r="L238" s="39"/>
    </row>
    <row r="239" spans="2:15" ht="8.4" customHeight="1" thickBot="1" x14ac:dyDescent="0.3"/>
    <row r="240" spans="2:15" x14ac:dyDescent="0.25">
      <c r="B240" s="111" t="s">
        <v>138</v>
      </c>
      <c r="C240" s="108" t="s">
        <v>139</v>
      </c>
      <c r="D240" s="22"/>
      <c r="E240" s="23"/>
      <c r="F240" s="24"/>
      <c r="G240" s="25"/>
      <c r="H240" s="25"/>
      <c r="I240" s="25"/>
      <c r="J240" s="25"/>
      <c r="K240" s="25"/>
      <c r="L240" s="26"/>
    </row>
    <row r="241" spans="2:15" ht="15.6" thickBot="1" x14ac:dyDescent="0.3">
      <c r="B241" s="112"/>
      <c r="C241" s="109"/>
      <c r="D241" s="27"/>
      <c r="E241" s="28"/>
      <c r="F241" s="29"/>
      <c r="L241" s="30"/>
    </row>
    <row r="242" spans="2:15" ht="16.2" thickBot="1" x14ac:dyDescent="0.35">
      <c r="B242" s="112"/>
      <c r="C242" s="109"/>
      <c r="D242" s="27"/>
      <c r="E242" s="31"/>
      <c r="F242" s="32" t="s">
        <v>0</v>
      </c>
      <c r="G242" s="33"/>
      <c r="H242" s="3" t="s">
        <v>2</v>
      </c>
      <c r="I242" s="33"/>
      <c r="J242" s="34" t="s">
        <v>3</v>
      </c>
      <c r="K242" s="33"/>
      <c r="L242" s="35" t="s">
        <v>4</v>
      </c>
      <c r="M242" s="2" t="str">
        <f>IF(E242="X","",IF(G242="X","",IF(I242="X","",IF(K242="X","","Elegir opción"))))</f>
        <v>Elegir opción</v>
      </c>
      <c r="N242" s="28" t="str">
        <f>IF(E242="X",3,IF(G242="X",2,IF(I242="X",1,IF(K242="X",0,"Promedio"))))</f>
        <v>Promedio</v>
      </c>
      <c r="O242" s="28"/>
    </row>
    <row r="243" spans="2:15" x14ac:dyDescent="0.25">
      <c r="B243" s="112"/>
      <c r="C243" s="109"/>
      <c r="D243" s="36"/>
      <c r="L243" s="30"/>
    </row>
    <row r="244" spans="2:15" x14ac:dyDescent="0.25">
      <c r="B244" s="112"/>
      <c r="C244" s="109"/>
      <c r="D244" s="36"/>
      <c r="L244" s="30"/>
    </row>
    <row r="245" spans="2:15" ht="15.6" thickBot="1" x14ac:dyDescent="0.3">
      <c r="B245" s="113"/>
      <c r="C245" s="110"/>
      <c r="D245" s="37"/>
      <c r="E245" s="38"/>
      <c r="F245" s="38"/>
      <c r="G245" s="38"/>
      <c r="H245" s="38"/>
      <c r="I245" s="38"/>
      <c r="J245" s="38"/>
      <c r="K245" s="38"/>
      <c r="L245" s="39"/>
    </row>
    <row r="246" spans="2:15" ht="8.4" customHeight="1" thickBot="1" x14ac:dyDescent="0.3"/>
    <row r="247" spans="2:15" x14ac:dyDescent="0.25">
      <c r="B247" s="111" t="s">
        <v>144</v>
      </c>
      <c r="C247" s="108" t="s">
        <v>140</v>
      </c>
      <c r="D247" s="22"/>
      <c r="E247" s="23"/>
      <c r="F247" s="24"/>
      <c r="G247" s="25"/>
      <c r="H247" s="25"/>
      <c r="I247" s="25"/>
      <c r="J247" s="25"/>
      <c r="K247" s="25"/>
      <c r="L247" s="26"/>
    </row>
    <row r="248" spans="2:15" ht="15.6" thickBot="1" x14ac:dyDescent="0.3">
      <c r="B248" s="112"/>
      <c r="C248" s="109"/>
      <c r="D248" s="27"/>
      <c r="E248" s="28"/>
      <c r="F248" s="29"/>
      <c r="L248" s="30"/>
    </row>
    <row r="249" spans="2:15" ht="16.2" thickBot="1" x14ac:dyDescent="0.35">
      <c r="B249" s="112"/>
      <c r="C249" s="109"/>
      <c r="D249" s="27"/>
      <c r="E249" s="31"/>
      <c r="F249" s="32" t="s">
        <v>0</v>
      </c>
      <c r="G249" s="33"/>
      <c r="H249" s="3" t="s">
        <v>2</v>
      </c>
      <c r="I249" s="33"/>
      <c r="J249" s="34" t="s">
        <v>3</v>
      </c>
      <c r="K249" s="33"/>
      <c r="L249" s="35" t="s">
        <v>4</v>
      </c>
      <c r="M249" s="2" t="str">
        <f>IF(E249="X","",IF(G249="X","",IF(I249="X","",IF(K249="X","","Elegir opción"))))</f>
        <v>Elegir opción</v>
      </c>
      <c r="N249" s="28" t="str">
        <f>IF(E249="X",3,IF(G249="X",2,IF(I249="X",1,IF(K249="X",0,"Promedio"))))</f>
        <v>Promedio</v>
      </c>
      <c r="O249" s="28"/>
    </row>
    <row r="250" spans="2:15" x14ac:dyDescent="0.25">
      <c r="B250" s="112"/>
      <c r="C250" s="109"/>
      <c r="D250" s="36"/>
      <c r="L250" s="30"/>
    </row>
    <row r="251" spans="2:15" x14ac:dyDescent="0.25">
      <c r="B251" s="112"/>
      <c r="C251" s="109"/>
      <c r="D251" s="36"/>
      <c r="L251" s="30"/>
    </row>
    <row r="252" spans="2:15" ht="15.6" thickBot="1" x14ac:dyDescent="0.3">
      <c r="B252" s="113"/>
      <c r="C252" s="110"/>
      <c r="D252" s="37"/>
      <c r="E252" s="38"/>
      <c r="F252" s="38"/>
      <c r="G252" s="38"/>
      <c r="H252" s="38"/>
      <c r="I252" s="38"/>
      <c r="J252" s="38"/>
      <c r="K252" s="38"/>
      <c r="L252" s="39"/>
    </row>
    <row r="253" spans="2:15" ht="8.4" customHeight="1" thickBot="1" x14ac:dyDescent="0.3"/>
    <row r="254" spans="2:15" x14ac:dyDescent="0.25">
      <c r="B254" s="111" t="s">
        <v>145</v>
      </c>
      <c r="C254" s="108" t="s">
        <v>141</v>
      </c>
      <c r="D254" s="22"/>
      <c r="E254" s="23"/>
      <c r="F254" s="24"/>
      <c r="G254" s="25"/>
      <c r="H254" s="25"/>
      <c r="I254" s="25"/>
      <c r="J254" s="25"/>
      <c r="K254" s="25"/>
      <c r="L254" s="26"/>
    </row>
    <row r="255" spans="2:15" ht="15.6" thickBot="1" x14ac:dyDescent="0.3">
      <c r="B255" s="112"/>
      <c r="C255" s="109"/>
      <c r="D255" s="27"/>
      <c r="E255" s="28"/>
      <c r="F255" s="29"/>
      <c r="L255" s="30"/>
    </row>
    <row r="256" spans="2:15" ht="16.2" thickBot="1" x14ac:dyDescent="0.35">
      <c r="B256" s="112"/>
      <c r="C256" s="109"/>
      <c r="D256" s="27"/>
      <c r="E256" s="31"/>
      <c r="F256" s="32" t="s">
        <v>0</v>
      </c>
      <c r="G256" s="33"/>
      <c r="H256" s="3" t="s">
        <v>2</v>
      </c>
      <c r="I256" s="33"/>
      <c r="J256" s="34" t="s">
        <v>3</v>
      </c>
      <c r="K256" s="33"/>
      <c r="L256" s="35" t="s">
        <v>4</v>
      </c>
      <c r="M256" s="2" t="str">
        <f>IF(E256="X","",IF(G256="X","",IF(I256="X","",IF(K256="X","","Elegir opción"))))</f>
        <v>Elegir opción</v>
      </c>
      <c r="N256" s="28" t="str">
        <f>IF(E256="X",3,IF(G256="X",2,IF(I256="X",1,IF(K256="X",0,"Promedio"))))</f>
        <v>Promedio</v>
      </c>
      <c r="O256" s="28"/>
    </row>
    <row r="257" spans="2:15" x14ac:dyDescent="0.25">
      <c r="B257" s="112"/>
      <c r="C257" s="109"/>
      <c r="D257" s="36"/>
      <c r="L257" s="30"/>
    </row>
    <row r="258" spans="2:15" x14ac:dyDescent="0.25">
      <c r="B258" s="112"/>
      <c r="C258" s="109"/>
      <c r="D258" s="36"/>
      <c r="L258" s="30"/>
    </row>
    <row r="259" spans="2:15" ht="15.6" thickBot="1" x14ac:dyDescent="0.3">
      <c r="B259" s="113"/>
      <c r="C259" s="110"/>
      <c r="D259" s="37"/>
      <c r="E259" s="38"/>
      <c r="F259" s="38"/>
      <c r="G259" s="38"/>
      <c r="H259" s="38"/>
      <c r="I259" s="38"/>
      <c r="J259" s="38"/>
      <c r="K259" s="38"/>
      <c r="L259" s="39"/>
    </row>
    <row r="260" spans="2:15" ht="8.4" customHeight="1" thickBot="1" x14ac:dyDescent="0.3"/>
    <row r="261" spans="2:15" x14ac:dyDescent="0.25">
      <c r="B261" s="111" t="s">
        <v>146</v>
      </c>
      <c r="C261" s="108" t="s">
        <v>459</v>
      </c>
      <c r="D261" s="22"/>
      <c r="E261" s="23"/>
      <c r="F261" s="24"/>
      <c r="G261" s="25"/>
      <c r="H261" s="25"/>
      <c r="I261" s="25"/>
      <c r="J261" s="25"/>
      <c r="K261" s="25"/>
      <c r="L261" s="26"/>
    </row>
    <row r="262" spans="2:15" ht="15.6" thickBot="1" x14ac:dyDescent="0.3">
      <c r="B262" s="112"/>
      <c r="C262" s="109"/>
      <c r="D262" s="27"/>
      <c r="E262" s="28"/>
      <c r="F262" s="29"/>
      <c r="L262" s="30"/>
    </row>
    <row r="263" spans="2:15" ht="16.2" thickBot="1" x14ac:dyDescent="0.35">
      <c r="B263" s="112"/>
      <c r="C263" s="109"/>
      <c r="D263" s="27"/>
      <c r="E263" s="31"/>
      <c r="F263" s="32" t="s">
        <v>0</v>
      </c>
      <c r="G263" s="33"/>
      <c r="H263" s="3" t="s">
        <v>2</v>
      </c>
      <c r="I263" s="33"/>
      <c r="J263" s="34" t="s">
        <v>3</v>
      </c>
      <c r="K263" s="33"/>
      <c r="L263" s="35" t="s">
        <v>4</v>
      </c>
      <c r="M263" s="2" t="str">
        <f>IF(E263="X","",IF(G263="X","",IF(I263="X","",IF(K263="X","","Elegir opción"))))</f>
        <v>Elegir opción</v>
      </c>
      <c r="N263" s="28" t="str">
        <f>IF(E263="X",3,IF(G263="X",2,IF(I263="X",1,IF(K263="X",0,"Promedio"))))</f>
        <v>Promedio</v>
      </c>
      <c r="O263" s="28"/>
    </row>
    <row r="264" spans="2:15" x14ac:dyDescent="0.25">
      <c r="B264" s="112"/>
      <c r="C264" s="109"/>
      <c r="D264" s="36"/>
      <c r="L264" s="30"/>
    </row>
    <row r="265" spans="2:15" x14ac:dyDescent="0.25">
      <c r="B265" s="112"/>
      <c r="C265" s="109"/>
      <c r="D265" s="36"/>
      <c r="L265" s="30"/>
    </row>
    <row r="266" spans="2:15" ht="15.6" thickBot="1" x14ac:dyDescent="0.3">
      <c r="B266" s="113"/>
      <c r="C266" s="110"/>
      <c r="D266" s="37"/>
      <c r="E266" s="38"/>
      <c r="F266" s="38"/>
      <c r="G266" s="38"/>
      <c r="H266" s="38"/>
      <c r="I266" s="38"/>
      <c r="J266" s="38"/>
      <c r="K266" s="38"/>
      <c r="L266" s="39"/>
    </row>
    <row r="267" spans="2:15" ht="8.4" customHeight="1" thickBot="1" x14ac:dyDescent="0.3"/>
    <row r="268" spans="2:15" x14ac:dyDescent="0.25">
      <c r="B268" s="111" t="s">
        <v>147</v>
      </c>
      <c r="C268" s="108" t="s">
        <v>142</v>
      </c>
      <c r="D268" s="22"/>
      <c r="E268" s="23"/>
      <c r="F268" s="24"/>
      <c r="G268" s="25"/>
      <c r="H268" s="25"/>
      <c r="I268" s="25"/>
      <c r="J268" s="25"/>
      <c r="K268" s="25"/>
      <c r="L268" s="26"/>
    </row>
    <row r="269" spans="2:15" ht="15.6" thickBot="1" x14ac:dyDescent="0.3">
      <c r="B269" s="112"/>
      <c r="C269" s="109"/>
      <c r="D269" s="27"/>
      <c r="E269" s="28"/>
      <c r="F269" s="29"/>
      <c r="L269" s="30"/>
    </row>
    <row r="270" spans="2:15" ht="16.2" thickBot="1" x14ac:dyDescent="0.35">
      <c r="B270" s="112"/>
      <c r="C270" s="109"/>
      <c r="D270" s="27"/>
      <c r="E270" s="31"/>
      <c r="F270" s="32" t="s">
        <v>0</v>
      </c>
      <c r="G270" s="33"/>
      <c r="H270" s="3" t="s">
        <v>2</v>
      </c>
      <c r="I270" s="33"/>
      <c r="J270" s="34" t="s">
        <v>3</v>
      </c>
      <c r="K270" s="33"/>
      <c r="L270" s="35" t="s">
        <v>4</v>
      </c>
      <c r="M270" s="2" t="str">
        <f>IF(E270="X","",IF(G270="X","",IF(I270="X","",IF(K270="X","","Elegir opción"))))</f>
        <v>Elegir opción</v>
      </c>
      <c r="N270" s="28" t="str">
        <f>IF(E270="X",3,IF(G270="X",2,IF(I270="X",1,IF(K270="X",0,"Promedio"))))</f>
        <v>Promedio</v>
      </c>
      <c r="O270" s="28"/>
    </row>
    <row r="271" spans="2:15" x14ac:dyDescent="0.25">
      <c r="B271" s="112"/>
      <c r="C271" s="109"/>
      <c r="D271" s="36"/>
      <c r="L271" s="30"/>
    </row>
    <row r="272" spans="2:15" x14ac:dyDescent="0.25">
      <c r="B272" s="112"/>
      <c r="C272" s="109"/>
      <c r="D272" s="36"/>
      <c r="L272" s="30"/>
    </row>
    <row r="273" spans="2:15" ht="15.6" thickBot="1" x14ac:dyDescent="0.3">
      <c r="B273" s="113"/>
      <c r="C273" s="110"/>
      <c r="D273" s="37"/>
      <c r="E273" s="38"/>
      <c r="F273" s="38"/>
      <c r="G273" s="38"/>
      <c r="H273" s="38"/>
      <c r="I273" s="38"/>
      <c r="J273" s="38"/>
      <c r="K273" s="38"/>
      <c r="L273" s="39"/>
    </row>
    <row r="274" spans="2:15" ht="8.4" customHeight="1" thickBot="1" x14ac:dyDescent="0.3"/>
    <row r="275" spans="2:15" x14ac:dyDescent="0.25">
      <c r="B275" s="111" t="s">
        <v>148</v>
      </c>
      <c r="C275" s="108" t="s">
        <v>143</v>
      </c>
      <c r="D275" s="22"/>
      <c r="E275" s="23"/>
      <c r="F275" s="24"/>
      <c r="G275" s="25"/>
      <c r="H275" s="25"/>
      <c r="I275" s="25"/>
      <c r="J275" s="25"/>
      <c r="K275" s="25"/>
      <c r="L275" s="26"/>
    </row>
    <row r="276" spans="2:15" ht="15.6" thickBot="1" x14ac:dyDescent="0.3">
      <c r="B276" s="112"/>
      <c r="C276" s="109"/>
      <c r="D276" s="27"/>
      <c r="E276" s="28"/>
      <c r="F276" s="29"/>
      <c r="L276" s="30"/>
    </row>
    <row r="277" spans="2:15" ht="15" customHeight="1" thickBot="1" x14ac:dyDescent="0.35">
      <c r="B277" s="112"/>
      <c r="C277" s="109"/>
      <c r="D277" s="27"/>
      <c r="E277" s="31"/>
      <c r="F277" s="32" t="s">
        <v>0</v>
      </c>
      <c r="G277" s="33"/>
      <c r="H277" s="3" t="s">
        <v>2</v>
      </c>
      <c r="I277" s="33"/>
      <c r="J277" s="34" t="s">
        <v>3</v>
      </c>
      <c r="K277" s="33"/>
      <c r="L277" s="35" t="s">
        <v>4</v>
      </c>
      <c r="M277" s="2" t="str">
        <f>IF(E277="X","",IF(G277="X","",IF(I277="X","",IF(K277="X","","Elegir opción"))))</f>
        <v>Elegir opción</v>
      </c>
      <c r="N277" s="28" t="str">
        <f>IF(E277="X",3,IF(G277="X",2,IF(I277="X",1,IF(K277="X",0,"Promedio"))))</f>
        <v>Promedio</v>
      </c>
      <c r="O277" s="28"/>
    </row>
    <row r="278" spans="2:15" x14ac:dyDescent="0.25">
      <c r="B278" s="112"/>
      <c r="C278" s="109"/>
      <c r="D278" s="36"/>
      <c r="L278" s="30"/>
    </row>
    <row r="279" spans="2:15" ht="21" customHeight="1" x14ac:dyDescent="0.25">
      <c r="B279" s="112"/>
      <c r="C279" s="109"/>
      <c r="D279" s="36"/>
      <c r="L279" s="30"/>
    </row>
    <row r="280" spans="2:15" ht="15.6" thickBot="1" x14ac:dyDescent="0.3">
      <c r="B280" s="113"/>
      <c r="C280" s="110"/>
      <c r="D280" s="37"/>
      <c r="E280" s="38"/>
      <c r="F280" s="38"/>
      <c r="G280" s="38"/>
      <c r="H280" s="38"/>
      <c r="I280" s="38"/>
      <c r="J280" s="38"/>
      <c r="K280" s="38"/>
      <c r="L280" s="39"/>
    </row>
    <row r="281" spans="2:15" ht="8.4" customHeight="1" thickBot="1" x14ac:dyDescent="0.3"/>
    <row r="282" spans="2:15" x14ac:dyDescent="0.25">
      <c r="B282" s="111" t="s">
        <v>164</v>
      </c>
      <c r="C282" s="108" t="s">
        <v>460</v>
      </c>
      <c r="D282" s="22"/>
      <c r="E282" s="23"/>
      <c r="F282" s="24"/>
      <c r="G282" s="25"/>
      <c r="H282" s="25"/>
      <c r="I282" s="25"/>
      <c r="J282" s="25"/>
      <c r="K282" s="25"/>
      <c r="L282" s="26"/>
    </row>
    <row r="283" spans="2:15" ht="15.6" thickBot="1" x14ac:dyDescent="0.3">
      <c r="B283" s="112"/>
      <c r="C283" s="109"/>
      <c r="D283" s="27"/>
      <c r="E283" s="28"/>
      <c r="F283" s="29"/>
      <c r="L283" s="30"/>
    </row>
    <row r="284" spans="2:15" ht="16.2" thickBot="1" x14ac:dyDescent="0.35">
      <c r="B284" s="112"/>
      <c r="C284" s="109"/>
      <c r="D284" s="27"/>
      <c r="E284" s="31"/>
      <c r="F284" s="32" t="s">
        <v>0</v>
      </c>
      <c r="G284" s="33"/>
      <c r="H284" s="3" t="s">
        <v>2</v>
      </c>
      <c r="I284" s="33"/>
      <c r="J284" s="34" t="s">
        <v>3</v>
      </c>
      <c r="K284" s="33"/>
      <c r="L284" s="35" t="s">
        <v>4</v>
      </c>
      <c r="M284" s="2" t="str">
        <f>IF(E284="X","",IF(G284="X","",IF(I284="X","",IF(K284="X","","Elegir opción"))))</f>
        <v>Elegir opción</v>
      </c>
      <c r="N284" s="28" t="str">
        <f>IF(E284="X",3,IF(G284="X",2,IF(I284="X",1,IF(K284="X",0,"Promedio"))))</f>
        <v>Promedio</v>
      </c>
      <c r="O284" s="28"/>
    </row>
    <row r="285" spans="2:15" x14ac:dyDescent="0.25">
      <c r="B285" s="112"/>
      <c r="C285" s="109"/>
      <c r="D285" s="36"/>
      <c r="L285" s="30"/>
    </row>
    <row r="286" spans="2:15" x14ac:dyDescent="0.25">
      <c r="B286" s="112"/>
      <c r="C286" s="109"/>
      <c r="D286" s="36"/>
      <c r="L286" s="30"/>
    </row>
    <row r="287" spans="2:15" ht="15.6" thickBot="1" x14ac:dyDescent="0.3">
      <c r="B287" s="113"/>
      <c r="C287" s="110"/>
      <c r="D287" s="37"/>
      <c r="E287" s="38"/>
      <c r="F287" s="38"/>
      <c r="G287" s="38"/>
      <c r="H287" s="38"/>
      <c r="I287" s="38"/>
      <c r="J287" s="38"/>
      <c r="K287" s="38"/>
      <c r="L287" s="39"/>
    </row>
    <row r="288" spans="2:15" ht="8.4" customHeight="1" thickBot="1" x14ac:dyDescent="0.3"/>
    <row r="289" spans="2:15" x14ac:dyDescent="0.25">
      <c r="B289" s="111" t="s">
        <v>165</v>
      </c>
      <c r="C289" s="108" t="s">
        <v>149</v>
      </c>
      <c r="D289" s="22"/>
      <c r="E289" s="23"/>
      <c r="F289" s="24"/>
      <c r="G289" s="25"/>
      <c r="H289" s="25"/>
      <c r="I289" s="25"/>
      <c r="J289" s="25"/>
      <c r="K289" s="25"/>
      <c r="L289" s="26"/>
    </row>
    <row r="290" spans="2:15" ht="15" customHeight="1" thickBot="1" x14ac:dyDescent="0.3">
      <c r="B290" s="112"/>
      <c r="C290" s="109"/>
      <c r="D290" s="27"/>
      <c r="E290" s="28"/>
      <c r="F290" s="29"/>
      <c r="L290" s="30"/>
    </row>
    <row r="291" spans="2:15" ht="16.2" thickBot="1" x14ac:dyDescent="0.35">
      <c r="B291" s="112"/>
      <c r="C291" s="109"/>
      <c r="D291" s="27"/>
      <c r="E291" s="31"/>
      <c r="F291" s="32" t="s">
        <v>0</v>
      </c>
      <c r="G291" s="33"/>
      <c r="H291" s="3" t="s">
        <v>2</v>
      </c>
      <c r="I291" s="33"/>
      <c r="J291" s="34" t="s">
        <v>3</v>
      </c>
      <c r="K291" s="33"/>
      <c r="L291" s="35" t="s">
        <v>4</v>
      </c>
      <c r="M291" s="2" t="str">
        <f>IF(E291="X","",IF(G291="X","",IF(I291="X","",IF(K291="X","","Elegir opción"))))</f>
        <v>Elegir opción</v>
      </c>
      <c r="N291" s="28" t="str">
        <f>IF(E291="X",3,IF(G291="X",2,IF(I291="X",1,IF(K291="X",0,"Promedio"))))</f>
        <v>Promedio</v>
      </c>
      <c r="O291" s="28"/>
    </row>
    <row r="292" spans="2:15" x14ac:dyDescent="0.25">
      <c r="B292" s="112"/>
      <c r="C292" s="109"/>
      <c r="D292" s="36"/>
      <c r="L292" s="30"/>
    </row>
    <row r="293" spans="2:15" x14ac:dyDescent="0.25">
      <c r="B293" s="112"/>
      <c r="C293" s="109"/>
      <c r="D293" s="36"/>
      <c r="L293" s="30"/>
    </row>
    <row r="294" spans="2:15" ht="15.6" thickBot="1" x14ac:dyDescent="0.3">
      <c r="B294" s="113"/>
      <c r="C294" s="110"/>
      <c r="D294" s="37"/>
      <c r="E294" s="38"/>
      <c r="F294" s="38"/>
      <c r="G294" s="38"/>
      <c r="H294" s="38"/>
      <c r="I294" s="38"/>
      <c r="J294" s="38"/>
      <c r="K294" s="38"/>
      <c r="L294" s="39"/>
    </row>
    <row r="295" spans="2:15" ht="8.4" customHeight="1" thickBot="1" x14ac:dyDescent="0.3"/>
    <row r="296" spans="2:15" x14ac:dyDescent="0.25">
      <c r="B296" s="111" t="s">
        <v>166</v>
      </c>
      <c r="C296" s="108" t="s">
        <v>461</v>
      </c>
      <c r="D296" s="22"/>
      <c r="E296" s="23"/>
      <c r="F296" s="24"/>
      <c r="G296" s="25"/>
      <c r="H296" s="25"/>
      <c r="I296" s="25"/>
      <c r="J296" s="25"/>
      <c r="K296" s="25"/>
      <c r="L296" s="26"/>
    </row>
    <row r="297" spans="2:15" ht="15.6" thickBot="1" x14ac:dyDescent="0.3">
      <c r="B297" s="112"/>
      <c r="C297" s="109"/>
      <c r="D297" s="27"/>
      <c r="E297" s="28"/>
      <c r="F297" s="29"/>
      <c r="L297" s="30"/>
    </row>
    <row r="298" spans="2:15" ht="16.2" thickBot="1" x14ac:dyDescent="0.35">
      <c r="B298" s="112"/>
      <c r="C298" s="109"/>
      <c r="D298" s="27"/>
      <c r="E298" s="31"/>
      <c r="F298" s="32" t="s">
        <v>0</v>
      </c>
      <c r="G298" s="33"/>
      <c r="H298" s="3" t="s">
        <v>2</v>
      </c>
      <c r="I298" s="33"/>
      <c r="J298" s="34" t="s">
        <v>3</v>
      </c>
      <c r="K298" s="33"/>
      <c r="L298" s="35" t="s">
        <v>4</v>
      </c>
      <c r="M298" s="2" t="str">
        <f>IF(E298="X","",IF(G298="X","",IF(I298="X","",IF(K298="X","","Elegir opción"))))</f>
        <v>Elegir opción</v>
      </c>
      <c r="N298" s="28" t="str">
        <f>IF(E298="X",3,IF(G298="X",2,IF(I298="X",1,IF(K298="X",0,"Promedio"))))</f>
        <v>Promedio</v>
      </c>
      <c r="O298" s="28"/>
    </row>
    <row r="299" spans="2:15" x14ac:dyDescent="0.25">
      <c r="B299" s="112"/>
      <c r="C299" s="109"/>
      <c r="D299" s="36"/>
      <c r="L299" s="30"/>
    </row>
    <row r="300" spans="2:15" x14ac:dyDescent="0.25">
      <c r="B300" s="112"/>
      <c r="C300" s="109"/>
      <c r="D300" s="36"/>
      <c r="L300" s="30"/>
    </row>
    <row r="301" spans="2:15" ht="15.6" thickBot="1" x14ac:dyDescent="0.3">
      <c r="B301" s="113"/>
      <c r="C301" s="110"/>
      <c r="D301" s="37"/>
      <c r="E301" s="38"/>
      <c r="F301" s="38"/>
      <c r="G301" s="38"/>
      <c r="H301" s="38"/>
      <c r="I301" s="38"/>
      <c r="J301" s="38"/>
      <c r="K301" s="38"/>
      <c r="L301" s="39"/>
    </row>
    <row r="302" spans="2:15" ht="8.4" customHeight="1" thickBot="1" x14ac:dyDescent="0.3"/>
    <row r="303" spans="2:15" x14ac:dyDescent="0.25">
      <c r="B303" s="111" t="s">
        <v>167</v>
      </c>
      <c r="C303" s="108" t="s">
        <v>462</v>
      </c>
      <c r="D303" s="22"/>
      <c r="E303" s="23"/>
      <c r="F303" s="24"/>
      <c r="G303" s="25"/>
      <c r="H303" s="25"/>
      <c r="I303" s="25"/>
      <c r="J303" s="25"/>
      <c r="K303" s="25"/>
      <c r="L303" s="26"/>
    </row>
    <row r="304" spans="2:15" ht="15.6" thickBot="1" x14ac:dyDescent="0.3">
      <c r="B304" s="112"/>
      <c r="C304" s="109"/>
      <c r="D304" s="27"/>
      <c r="E304" s="28"/>
      <c r="F304" s="29"/>
      <c r="L304" s="30"/>
    </row>
    <row r="305" spans="2:15" ht="16.2" thickBot="1" x14ac:dyDescent="0.35">
      <c r="B305" s="112"/>
      <c r="C305" s="109"/>
      <c r="D305" s="27"/>
      <c r="E305" s="31"/>
      <c r="F305" s="32" t="s">
        <v>0</v>
      </c>
      <c r="G305" s="33"/>
      <c r="H305" s="3" t="s">
        <v>2</v>
      </c>
      <c r="I305" s="33"/>
      <c r="J305" s="34" t="s">
        <v>3</v>
      </c>
      <c r="K305" s="33"/>
      <c r="L305" s="35" t="s">
        <v>4</v>
      </c>
      <c r="M305" s="2" t="str">
        <f>IF(E305="X","",IF(G305="X","",IF(I305="X","",IF(K305="X","","Elegir opción"))))</f>
        <v>Elegir opción</v>
      </c>
      <c r="N305" s="28" t="str">
        <f>IF(E305="X",3,IF(G305="X",2,IF(I305="X",1,IF(K305="X",0,"Promedio"))))</f>
        <v>Promedio</v>
      </c>
      <c r="O305" s="28"/>
    </row>
    <row r="306" spans="2:15" x14ac:dyDescent="0.25">
      <c r="B306" s="112"/>
      <c r="C306" s="109"/>
      <c r="D306" s="36"/>
      <c r="L306" s="30"/>
    </row>
    <row r="307" spans="2:15" x14ac:dyDescent="0.25">
      <c r="B307" s="112"/>
      <c r="C307" s="109"/>
      <c r="D307" s="36"/>
      <c r="L307" s="30"/>
    </row>
    <row r="308" spans="2:15" ht="15.6" thickBot="1" x14ac:dyDescent="0.3">
      <c r="B308" s="113"/>
      <c r="C308" s="110"/>
      <c r="D308" s="37"/>
      <c r="E308" s="38"/>
      <c r="F308" s="38"/>
      <c r="G308" s="38"/>
      <c r="H308" s="38"/>
      <c r="I308" s="38"/>
      <c r="J308" s="38"/>
      <c r="K308" s="38"/>
      <c r="L308" s="39"/>
    </row>
    <row r="309" spans="2:15" ht="8.4" customHeight="1" thickBot="1" x14ac:dyDescent="0.3"/>
    <row r="310" spans="2:15" x14ac:dyDescent="0.25">
      <c r="B310" s="111" t="s">
        <v>168</v>
      </c>
      <c r="C310" s="108" t="s">
        <v>463</v>
      </c>
      <c r="D310" s="22"/>
      <c r="E310" s="23"/>
      <c r="F310" s="24"/>
      <c r="G310" s="25"/>
      <c r="H310" s="25"/>
      <c r="I310" s="25"/>
      <c r="J310" s="25"/>
      <c r="K310" s="25"/>
      <c r="L310" s="26"/>
    </row>
    <row r="311" spans="2:15" ht="15.6" thickBot="1" x14ac:dyDescent="0.3">
      <c r="B311" s="112"/>
      <c r="C311" s="109"/>
      <c r="D311" s="27"/>
      <c r="E311" s="28"/>
      <c r="F311" s="29"/>
      <c r="L311" s="30"/>
    </row>
    <row r="312" spans="2:15" ht="16.2" thickBot="1" x14ac:dyDescent="0.35">
      <c r="B312" s="112"/>
      <c r="C312" s="109"/>
      <c r="D312" s="27"/>
      <c r="E312" s="31"/>
      <c r="F312" s="32" t="s">
        <v>0</v>
      </c>
      <c r="G312" s="33"/>
      <c r="H312" s="3" t="s">
        <v>2</v>
      </c>
      <c r="I312" s="33"/>
      <c r="J312" s="34" t="s">
        <v>3</v>
      </c>
      <c r="K312" s="33"/>
      <c r="L312" s="35" t="s">
        <v>4</v>
      </c>
      <c r="M312" s="2" t="str">
        <f>IF(E312="X","",IF(G312="X","",IF(I312="X","",IF(K312="X","","Elegir opción"))))</f>
        <v>Elegir opción</v>
      </c>
      <c r="N312" s="28" t="str">
        <f>IF(E312="X",3,IF(G312="X",2,IF(I312="X",1,IF(K312="X",0,"Promedio"))))</f>
        <v>Promedio</v>
      </c>
      <c r="O312" s="28"/>
    </row>
    <row r="313" spans="2:15" x14ac:dyDescent="0.25">
      <c r="B313" s="112"/>
      <c r="C313" s="109"/>
      <c r="D313" s="36"/>
      <c r="L313" s="30"/>
    </row>
    <row r="314" spans="2:15" x14ac:dyDescent="0.25">
      <c r="B314" s="112"/>
      <c r="C314" s="109"/>
      <c r="D314" s="36"/>
      <c r="L314" s="30"/>
    </row>
    <row r="315" spans="2:15" ht="15.6" thickBot="1" x14ac:dyDescent="0.3">
      <c r="B315" s="113"/>
      <c r="C315" s="110"/>
      <c r="D315" s="37"/>
      <c r="E315" s="38"/>
      <c r="F315" s="38"/>
      <c r="G315" s="38"/>
      <c r="H315" s="38"/>
      <c r="I315" s="38"/>
      <c r="J315" s="38"/>
      <c r="K315" s="38"/>
      <c r="L315" s="39"/>
    </row>
    <row r="316" spans="2:15" ht="8.4" customHeight="1" thickBot="1" x14ac:dyDescent="0.3"/>
    <row r="317" spans="2:15" x14ac:dyDescent="0.25">
      <c r="B317" s="111" t="s">
        <v>169</v>
      </c>
      <c r="C317" s="108" t="s">
        <v>150</v>
      </c>
      <c r="D317" s="22"/>
      <c r="E317" s="23"/>
      <c r="F317" s="24"/>
      <c r="G317" s="25"/>
      <c r="H317" s="25"/>
      <c r="I317" s="25"/>
      <c r="J317" s="25"/>
      <c r="K317" s="25"/>
      <c r="L317" s="26"/>
    </row>
    <row r="318" spans="2:15" ht="15.6" thickBot="1" x14ac:dyDescent="0.3">
      <c r="B318" s="112"/>
      <c r="C318" s="109"/>
      <c r="D318" s="27"/>
      <c r="E318" s="28"/>
      <c r="F318" s="29"/>
      <c r="L318" s="30"/>
    </row>
    <row r="319" spans="2:15" ht="16.2" thickBot="1" x14ac:dyDescent="0.35">
      <c r="B319" s="112"/>
      <c r="C319" s="109"/>
      <c r="D319" s="27"/>
      <c r="E319" s="31"/>
      <c r="F319" s="32" t="s">
        <v>0</v>
      </c>
      <c r="G319" s="33"/>
      <c r="H319" s="3" t="s">
        <v>2</v>
      </c>
      <c r="I319" s="33"/>
      <c r="J319" s="34" t="s">
        <v>3</v>
      </c>
      <c r="K319" s="33"/>
      <c r="L319" s="35" t="s">
        <v>4</v>
      </c>
      <c r="M319" s="2" t="str">
        <f>IF(E319="X","",IF(G319="X","",IF(I319="X","",IF(K319="X","","Elegir opción"))))</f>
        <v>Elegir opción</v>
      </c>
      <c r="N319" s="28" t="str">
        <f>IF(E319="X",3,IF(G319="X",2,IF(I319="X",1,IF(K319="X",0,"Promedio"))))</f>
        <v>Promedio</v>
      </c>
      <c r="O319" s="28"/>
    </row>
    <row r="320" spans="2:15" x14ac:dyDescent="0.25">
      <c r="B320" s="112"/>
      <c r="C320" s="109"/>
      <c r="D320" s="36"/>
      <c r="L320" s="30"/>
    </row>
    <row r="321" spans="2:15" x14ac:dyDescent="0.25">
      <c r="B321" s="112"/>
      <c r="C321" s="109"/>
      <c r="D321" s="36"/>
      <c r="L321" s="30"/>
    </row>
    <row r="322" spans="2:15" ht="15.6" thickBot="1" x14ac:dyDescent="0.3">
      <c r="B322" s="113"/>
      <c r="C322" s="110"/>
      <c r="D322" s="37"/>
      <c r="E322" s="38"/>
      <c r="F322" s="38"/>
      <c r="G322" s="38"/>
      <c r="H322" s="38"/>
      <c r="I322" s="38"/>
      <c r="J322" s="38"/>
      <c r="K322" s="38"/>
      <c r="L322" s="39"/>
    </row>
    <row r="323" spans="2:15" ht="8.4" customHeight="1" thickBot="1" x14ac:dyDescent="0.3"/>
    <row r="324" spans="2:15" x14ac:dyDescent="0.25">
      <c r="B324" s="111" t="s">
        <v>170</v>
      </c>
      <c r="C324" s="108" t="s">
        <v>464</v>
      </c>
      <c r="D324" s="22"/>
      <c r="E324" s="23"/>
      <c r="F324" s="24"/>
      <c r="G324" s="25"/>
      <c r="H324" s="25"/>
      <c r="I324" s="25"/>
      <c r="J324" s="25"/>
      <c r="K324" s="25"/>
      <c r="L324" s="26"/>
    </row>
    <row r="325" spans="2:15" ht="15.6" thickBot="1" x14ac:dyDescent="0.3">
      <c r="B325" s="112"/>
      <c r="C325" s="109"/>
      <c r="D325" s="27"/>
      <c r="E325" s="28"/>
      <c r="F325" s="29"/>
      <c r="L325" s="30"/>
    </row>
    <row r="326" spans="2:15" ht="16.2" thickBot="1" x14ac:dyDescent="0.35">
      <c r="B326" s="112"/>
      <c r="C326" s="109"/>
      <c r="D326" s="27"/>
      <c r="E326" s="31"/>
      <c r="F326" s="32" t="s">
        <v>0</v>
      </c>
      <c r="G326" s="33"/>
      <c r="H326" s="3" t="s">
        <v>2</v>
      </c>
      <c r="I326" s="33"/>
      <c r="J326" s="34" t="s">
        <v>3</v>
      </c>
      <c r="K326" s="33"/>
      <c r="L326" s="35" t="s">
        <v>4</v>
      </c>
      <c r="M326" s="2" t="str">
        <f>IF(E326="X","",IF(G326="X","",IF(I326="X","",IF(K326="X","","Elegir opción"))))</f>
        <v>Elegir opción</v>
      </c>
      <c r="N326" s="28" t="str">
        <f>IF(E326="X",3,IF(G326="X",2,IF(I326="X",1,IF(K326="X",0,"Promedio"))))</f>
        <v>Promedio</v>
      </c>
      <c r="O326" s="28"/>
    </row>
    <row r="327" spans="2:15" x14ac:dyDescent="0.25">
      <c r="B327" s="112"/>
      <c r="C327" s="109"/>
      <c r="D327" s="36"/>
      <c r="L327" s="30"/>
    </row>
    <row r="328" spans="2:15" x14ac:dyDescent="0.25">
      <c r="B328" s="112"/>
      <c r="C328" s="109"/>
      <c r="D328" s="36"/>
      <c r="L328" s="30"/>
    </row>
    <row r="329" spans="2:15" ht="15.6" thickBot="1" x14ac:dyDescent="0.3">
      <c r="B329" s="113"/>
      <c r="C329" s="110"/>
      <c r="D329" s="37"/>
      <c r="E329" s="38"/>
      <c r="F329" s="38"/>
      <c r="G329" s="38"/>
      <c r="H329" s="38"/>
      <c r="I329" s="38"/>
      <c r="J329" s="38"/>
      <c r="K329" s="38"/>
      <c r="L329" s="39"/>
    </row>
    <row r="330" spans="2:15" ht="8.4" customHeight="1" thickBot="1" x14ac:dyDescent="0.3"/>
    <row r="331" spans="2:15" x14ac:dyDescent="0.25">
      <c r="B331" s="111" t="s">
        <v>171</v>
      </c>
      <c r="C331" s="108" t="s">
        <v>465</v>
      </c>
      <c r="D331" s="22"/>
      <c r="E331" s="23"/>
      <c r="F331" s="24"/>
      <c r="G331" s="25"/>
      <c r="H331" s="25"/>
      <c r="I331" s="25"/>
      <c r="J331" s="25"/>
      <c r="K331" s="25"/>
      <c r="L331" s="26"/>
    </row>
    <row r="332" spans="2:15" ht="15.6" thickBot="1" x14ac:dyDescent="0.3">
      <c r="B332" s="112"/>
      <c r="C332" s="109"/>
      <c r="D332" s="27"/>
      <c r="E332" s="28"/>
      <c r="F332" s="29"/>
      <c r="L332" s="30"/>
    </row>
    <row r="333" spans="2:15" ht="16.2" thickBot="1" x14ac:dyDescent="0.35">
      <c r="B333" s="112"/>
      <c r="C333" s="109"/>
      <c r="D333" s="27"/>
      <c r="E333" s="31"/>
      <c r="F333" s="32" t="s">
        <v>0</v>
      </c>
      <c r="G333" s="33"/>
      <c r="H333" s="3" t="s">
        <v>2</v>
      </c>
      <c r="I333" s="33"/>
      <c r="J333" s="34" t="s">
        <v>3</v>
      </c>
      <c r="K333" s="33"/>
      <c r="L333" s="35" t="s">
        <v>4</v>
      </c>
      <c r="M333" s="2" t="str">
        <f>IF(E333="X","",IF(G333="X","",IF(I333="X","",IF(K333="X","","Elegir opción"))))</f>
        <v>Elegir opción</v>
      </c>
      <c r="N333" s="28" t="str">
        <f>IF(E333="X",3,IF(G333="X",2,IF(I333="X",1,IF(K333="X",0,"Promedio"))))</f>
        <v>Promedio</v>
      </c>
      <c r="O333" s="28"/>
    </row>
    <row r="334" spans="2:15" x14ac:dyDescent="0.25">
      <c r="B334" s="112"/>
      <c r="C334" s="109"/>
      <c r="D334" s="36"/>
      <c r="L334" s="30"/>
    </row>
    <row r="335" spans="2:15" x14ac:dyDescent="0.25">
      <c r="B335" s="112"/>
      <c r="C335" s="109"/>
      <c r="D335" s="36"/>
      <c r="L335" s="30"/>
    </row>
    <row r="336" spans="2:15" ht="15.6" thickBot="1" x14ac:dyDescent="0.3">
      <c r="B336" s="113"/>
      <c r="C336" s="110"/>
      <c r="D336" s="37"/>
      <c r="E336" s="38"/>
      <c r="F336" s="38"/>
      <c r="G336" s="38"/>
      <c r="H336" s="38"/>
      <c r="I336" s="38"/>
      <c r="J336" s="38"/>
      <c r="K336" s="38"/>
      <c r="L336" s="39"/>
    </row>
    <row r="337" spans="2:15" ht="8.4" customHeight="1" thickBot="1" x14ac:dyDescent="0.3"/>
    <row r="338" spans="2:15" x14ac:dyDescent="0.25">
      <c r="B338" s="111" t="s">
        <v>172</v>
      </c>
      <c r="C338" s="108" t="s">
        <v>151</v>
      </c>
      <c r="D338" s="22"/>
      <c r="E338" s="23"/>
      <c r="F338" s="24"/>
      <c r="G338" s="25"/>
      <c r="H338" s="25"/>
      <c r="I338" s="25"/>
      <c r="J338" s="25"/>
      <c r="K338" s="25"/>
      <c r="L338" s="26"/>
    </row>
    <row r="339" spans="2:15" ht="15.6" thickBot="1" x14ac:dyDescent="0.3">
      <c r="B339" s="112"/>
      <c r="C339" s="109"/>
      <c r="D339" s="27"/>
      <c r="E339" s="28"/>
      <c r="F339" s="29"/>
      <c r="L339" s="30"/>
    </row>
    <row r="340" spans="2:15" ht="16.2" thickBot="1" x14ac:dyDescent="0.35">
      <c r="B340" s="112"/>
      <c r="C340" s="109"/>
      <c r="D340" s="27"/>
      <c r="E340" s="31"/>
      <c r="F340" s="32" t="s">
        <v>0</v>
      </c>
      <c r="G340" s="33"/>
      <c r="H340" s="3" t="s">
        <v>2</v>
      </c>
      <c r="I340" s="33"/>
      <c r="J340" s="34" t="s">
        <v>3</v>
      </c>
      <c r="K340" s="33"/>
      <c r="L340" s="35" t="s">
        <v>4</v>
      </c>
      <c r="M340" s="2" t="str">
        <f>IF(E340="X","",IF(G340="X","",IF(I340="X","",IF(K340="X","","Elegir opción"))))</f>
        <v>Elegir opción</v>
      </c>
      <c r="N340" s="28" t="str">
        <f>IF(E340="X",3,IF(G340="X",2,IF(I340="X",1,IF(K340="X",0,"Promedio"))))</f>
        <v>Promedio</v>
      </c>
      <c r="O340" s="28"/>
    </row>
    <row r="341" spans="2:15" x14ac:dyDescent="0.25">
      <c r="B341" s="112"/>
      <c r="C341" s="109"/>
      <c r="D341" s="36"/>
      <c r="L341" s="30"/>
    </row>
    <row r="342" spans="2:15" x14ac:dyDescent="0.25">
      <c r="B342" s="112"/>
      <c r="C342" s="109"/>
      <c r="D342" s="36"/>
      <c r="L342" s="30"/>
    </row>
    <row r="343" spans="2:15" ht="15.6" thickBot="1" x14ac:dyDescent="0.3">
      <c r="B343" s="113"/>
      <c r="C343" s="110"/>
      <c r="D343" s="37"/>
      <c r="E343" s="38"/>
      <c r="F343" s="38"/>
      <c r="G343" s="38"/>
      <c r="H343" s="38"/>
      <c r="I343" s="38"/>
      <c r="J343" s="38"/>
      <c r="K343" s="38"/>
      <c r="L343" s="39"/>
    </row>
    <row r="344" spans="2:15" ht="8.4" customHeight="1" thickBot="1" x14ac:dyDescent="0.3"/>
    <row r="345" spans="2:15" x14ac:dyDescent="0.25">
      <c r="B345" s="111" t="s">
        <v>173</v>
      </c>
      <c r="C345" s="108" t="s">
        <v>152</v>
      </c>
      <c r="D345" s="22"/>
      <c r="E345" s="23"/>
      <c r="F345" s="24"/>
      <c r="G345" s="25"/>
      <c r="H345" s="25"/>
      <c r="I345" s="25"/>
      <c r="J345" s="25"/>
      <c r="K345" s="25"/>
      <c r="L345" s="26"/>
    </row>
    <row r="346" spans="2:15" ht="15.6" thickBot="1" x14ac:dyDescent="0.3">
      <c r="B346" s="112"/>
      <c r="C346" s="109"/>
      <c r="D346" s="27"/>
      <c r="E346" s="28"/>
      <c r="F346" s="29"/>
      <c r="L346" s="30"/>
    </row>
    <row r="347" spans="2:15" ht="16.2" thickBot="1" x14ac:dyDescent="0.35">
      <c r="B347" s="112"/>
      <c r="C347" s="109"/>
      <c r="D347" s="27"/>
      <c r="E347" s="31"/>
      <c r="F347" s="32" t="s">
        <v>0</v>
      </c>
      <c r="G347" s="33"/>
      <c r="H347" s="3" t="s">
        <v>2</v>
      </c>
      <c r="I347" s="33"/>
      <c r="J347" s="34" t="s">
        <v>3</v>
      </c>
      <c r="K347" s="33"/>
      <c r="L347" s="35" t="s">
        <v>4</v>
      </c>
      <c r="M347" s="2" t="str">
        <f>IF(E347="X","",IF(G347="X","",IF(I347="X","",IF(K347="X","","Elegir opción"))))</f>
        <v>Elegir opción</v>
      </c>
      <c r="N347" s="28" t="str">
        <f>IF(E347="X",3,IF(G347="X",2,IF(I347="X",1,IF(K347="X",0,"Promedio"))))</f>
        <v>Promedio</v>
      </c>
      <c r="O347" s="28"/>
    </row>
    <row r="348" spans="2:15" x14ac:dyDescent="0.25">
      <c r="B348" s="112"/>
      <c r="C348" s="109"/>
      <c r="D348" s="36"/>
      <c r="L348" s="30"/>
    </row>
    <row r="349" spans="2:15" x14ac:dyDescent="0.25">
      <c r="B349" s="112"/>
      <c r="C349" s="109"/>
      <c r="D349" s="36"/>
      <c r="L349" s="30"/>
    </row>
    <row r="350" spans="2:15" ht="15.6" thickBot="1" x14ac:dyDescent="0.3">
      <c r="B350" s="113"/>
      <c r="C350" s="110"/>
      <c r="D350" s="37"/>
      <c r="E350" s="38"/>
      <c r="F350" s="38"/>
      <c r="G350" s="38"/>
      <c r="H350" s="38"/>
      <c r="I350" s="38"/>
      <c r="J350" s="38"/>
      <c r="K350" s="38"/>
      <c r="L350" s="39"/>
    </row>
    <row r="351" spans="2:15" ht="8.4" customHeight="1" thickBot="1" x14ac:dyDescent="0.3"/>
    <row r="352" spans="2:15" x14ac:dyDescent="0.25">
      <c r="B352" s="111" t="s">
        <v>174</v>
      </c>
      <c r="C352" s="108" t="s">
        <v>153</v>
      </c>
      <c r="D352" s="22"/>
      <c r="E352" s="23"/>
      <c r="F352" s="24"/>
      <c r="G352" s="25"/>
      <c r="H352" s="25"/>
      <c r="I352" s="25"/>
      <c r="J352" s="25"/>
      <c r="K352" s="25"/>
      <c r="L352" s="26"/>
    </row>
    <row r="353" spans="2:15" ht="15.6" thickBot="1" x14ac:dyDescent="0.3">
      <c r="B353" s="112"/>
      <c r="C353" s="109"/>
      <c r="D353" s="27"/>
      <c r="E353" s="28"/>
      <c r="F353" s="29"/>
      <c r="L353" s="30"/>
    </row>
    <row r="354" spans="2:15" ht="16.2" thickBot="1" x14ac:dyDescent="0.35">
      <c r="B354" s="112"/>
      <c r="C354" s="109"/>
      <c r="D354" s="27"/>
      <c r="E354" s="31"/>
      <c r="F354" s="32" t="s">
        <v>0</v>
      </c>
      <c r="G354" s="33"/>
      <c r="H354" s="3" t="s">
        <v>2</v>
      </c>
      <c r="I354" s="33"/>
      <c r="J354" s="34" t="s">
        <v>3</v>
      </c>
      <c r="K354" s="33"/>
      <c r="L354" s="35" t="s">
        <v>4</v>
      </c>
      <c r="M354" s="2" t="str">
        <f>IF(E354="X","",IF(G354="X","",IF(I354="X","",IF(K354="X","","Elegir opción"))))</f>
        <v>Elegir opción</v>
      </c>
      <c r="N354" s="28" t="str">
        <f>IF(E354="X",3,IF(G354="X",2,IF(I354="X",1,IF(K354="X",0,"Promedio"))))</f>
        <v>Promedio</v>
      </c>
      <c r="O354" s="28"/>
    </row>
    <row r="355" spans="2:15" x14ac:dyDescent="0.25">
      <c r="B355" s="112"/>
      <c r="C355" s="109"/>
      <c r="D355" s="36"/>
      <c r="L355" s="30"/>
    </row>
    <row r="356" spans="2:15" x14ac:dyDescent="0.25">
      <c r="B356" s="112"/>
      <c r="C356" s="109"/>
      <c r="D356" s="36"/>
      <c r="L356" s="30"/>
    </row>
    <row r="357" spans="2:15" ht="15.6" thickBot="1" x14ac:dyDescent="0.3">
      <c r="B357" s="113"/>
      <c r="C357" s="110"/>
      <c r="D357" s="37"/>
      <c r="E357" s="38"/>
      <c r="F357" s="38"/>
      <c r="G357" s="38"/>
      <c r="H357" s="38"/>
      <c r="I357" s="38"/>
      <c r="J357" s="38"/>
      <c r="K357" s="38"/>
      <c r="L357" s="39"/>
    </row>
    <row r="358" spans="2:15" ht="8.4" customHeight="1" thickBot="1" x14ac:dyDescent="0.3"/>
    <row r="359" spans="2:15" x14ac:dyDescent="0.25">
      <c r="B359" s="111" t="s">
        <v>175</v>
      </c>
      <c r="C359" s="108" t="s">
        <v>466</v>
      </c>
      <c r="D359" s="22"/>
      <c r="E359" s="23"/>
      <c r="F359" s="24"/>
      <c r="G359" s="25"/>
      <c r="H359" s="25"/>
      <c r="I359" s="25"/>
      <c r="J359" s="25"/>
      <c r="K359" s="25"/>
      <c r="L359" s="26"/>
    </row>
    <row r="360" spans="2:15" ht="15.6" thickBot="1" x14ac:dyDescent="0.3">
      <c r="B360" s="112"/>
      <c r="C360" s="109"/>
      <c r="D360" s="27"/>
      <c r="E360" s="28"/>
      <c r="F360" s="29"/>
      <c r="L360" s="30"/>
    </row>
    <row r="361" spans="2:15" ht="16.2" thickBot="1" x14ac:dyDescent="0.35">
      <c r="B361" s="112"/>
      <c r="C361" s="109"/>
      <c r="D361" s="27"/>
      <c r="E361" s="31"/>
      <c r="F361" s="32" t="s">
        <v>0</v>
      </c>
      <c r="G361" s="33"/>
      <c r="H361" s="3" t="s">
        <v>2</v>
      </c>
      <c r="I361" s="33"/>
      <c r="J361" s="34" t="s">
        <v>3</v>
      </c>
      <c r="K361" s="33"/>
      <c r="L361" s="35" t="s">
        <v>4</v>
      </c>
      <c r="M361" s="2" t="str">
        <f>IF(E361="X","",IF(G361="X","",IF(I361="X","",IF(K361="X","","Elegir opción"))))</f>
        <v>Elegir opción</v>
      </c>
      <c r="N361" s="28" t="str">
        <f>IF(E361="X",3,IF(G361="X",2,IF(I361="X",1,IF(K361="X",0,"Promedio"))))</f>
        <v>Promedio</v>
      </c>
      <c r="O361" s="28"/>
    </row>
    <row r="362" spans="2:15" x14ac:dyDescent="0.25">
      <c r="B362" s="112"/>
      <c r="C362" s="109"/>
      <c r="D362" s="36"/>
      <c r="L362" s="30"/>
    </row>
    <row r="363" spans="2:15" x14ac:dyDescent="0.25">
      <c r="B363" s="112"/>
      <c r="C363" s="109"/>
      <c r="D363" s="36"/>
      <c r="L363" s="30"/>
    </row>
    <row r="364" spans="2:15" ht="15.6" thickBot="1" x14ac:dyDescent="0.3">
      <c r="B364" s="113"/>
      <c r="C364" s="110"/>
      <c r="D364" s="37"/>
      <c r="E364" s="38"/>
      <c r="F364" s="38"/>
      <c r="G364" s="38"/>
      <c r="H364" s="38"/>
      <c r="I364" s="38"/>
      <c r="J364" s="38"/>
      <c r="K364" s="38"/>
      <c r="L364" s="39"/>
    </row>
    <row r="365" spans="2:15" ht="8.4" customHeight="1" thickBot="1" x14ac:dyDescent="0.3"/>
    <row r="366" spans="2:15" x14ac:dyDescent="0.25">
      <c r="B366" s="111" t="s">
        <v>176</v>
      </c>
      <c r="C366" s="108" t="s">
        <v>467</v>
      </c>
      <c r="D366" s="22"/>
      <c r="E366" s="23"/>
      <c r="F366" s="24"/>
      <c r="G366" s="25"/>
      <c r="H366" s="25"/>
      <c r="I366" s="25"/>
      <c r="J366" s="25"/>
      <c r="K366" s="25"/>
      <c r="L366" s="26"/>
    </row>
    <row r="367" spans="2:15" ht="15.6" thickBot="1" x14ac:dyDescent="0.3">
      <c r="B367" s="112"/>
      <c r="C367" s="109"/>
      <c r="D367" s="27"/>
      <c r="E367" s="28"/>
      <c r="F367" s="29"/>
      <c r="L367" s="30"/>
    </row>
    <row r="368" spans="2:15" ht="16.2" thickBot="1" x14ac:dyDescent="0.35">
      <c r="B368" s="112"/>
      <c r="C368" s="109"/>
      <c r="D368" s="27"/>
      <c r="E368" s="31"/>
      <c r="F368" s="32" t="s">
        <v>0</v>
      </c>
      <c r="G368" s="33"/>
      <c r="H368" s="3" t="s">
        <v>2</v>
      </c>
      <c r="I368" s="33"/>
      <c r="J368" s="34" t="s">
        <v>3</v>
      </c>
      <c r="K368" s="33"/>
      <c r="L368" s="35" t="s">
        <v>4</v>
      </c>
      <c r="M368" s="2" t="str">
        <f>IF(E368="X","",IF(G368="X","",IF(I368="X","",IF(K368="X","","Elegir opción"))))</f>
        <v>Elegir opción</v>
      </c>
      <c r="N368" s="28" t="str">
        <f>IF(E368="X",3,IF(G368="X",2,IF(I368="X",1,IF(K368="X",0,"Promedio"))))</f>
        <v>Promedio</v>
      </c>
      <c r="O368" s="28"/>
    </row>
    <row r="369" spans="2:15" x14ac:dyDescent="0.25">
      <c r="B369" s="112"/>
      <c r="C369" s="109"/>
      <c r="D369" s="36"/>
      <c r="L369" s="30"/>
    </row>
    <row r="370" spans="2:15" x14ac:dyDescent="0.25">
      <c r="B370" s="112"/>
      <c r="C370" s="109"/>
      <c r="D370" s="36"/>
      <c r="L370" s="30"/>
    </row>
    <row r="371" spans="2:15" ht="15.6" thickBot="1" x14ac:dyDescent="0.3">
      <c r="B371" s="113"/>
      <c r="C371" s="110"/>
      <c r="D371" s="37"/>
      <c r="E371" s="38"/>
      <c r="F371" s="38"/>
      <c r="G371" s="38"/>
      <c r="H371" s="38"/>
      <c r="I371" s="38"/>
      <c r="J371" s="38"/>
      <c r="K371" s="38"/>
      <c r="L371" s="39"/>
    </row>
    <row r="372" spans="2:15" ht="8.4" customHeight="1" thickBot="1" x14ac:dyDescent="0.3"/>
    <row r="373" spans="2:15" x14ac:dyDescent="0.25">
      <c r="B373" s="111" t="s">
        <v>177</v>
      </c>
      <c r="C373" s="108" t="s">
        <v>468</v>
      </c>
      <c r="D373" s="22"/>
      <c r="E373" s="23"/>
      <c r="F373" s="24"/>
      <c r="G373" s="25"/>
      <c r="H373" s="25"/>
      <c r="I373" s="25"/>
      <c r="J373" s="25"/>
      <c r="K373" s="25"/>
      <c r="L373" s="26"/>
    </row>
    <row r="374" spans="2:15" ht="15.6" thickBot="1" x14ac:dyDescent="0.3">
      <c r="B374" s="112"/>
      <c r="C374" s="109"/>
      <c r="D374" s="27"/>
      <c r="E374" s="28"/>
      <c r="F374" s="29"/>
      <c r="L374" s="30"/>
    </row>
    <row r="375" spans="2:15" ht="16.2" thickBot="1" x14ac:dyDescent="0.35">
      <c r="B375" s="112"/>
      <c r="C375" s="109"/>
      <c r="D375" s="27"/>
      <c r="E375" s="31"/>
      <c r="F375" s="32" t="s">
        <v>0</v>
      </c>
      <c r="G375" s="33"/>
      <c r="H375" s="3" t="s">
        <v>2</v>
      </c>
      <c r="I375" s="33"/>
      <c r="J375" s="34" t="s">
        <v>3</v>
      </c>
      <c r="K375" s="33"/>
      <c r="L375" s="35" t="s">
        <v>4</v>
      </c>
      <c r="M375" s="2" t="str">
        <f>IF(E375="X","",IF(G375="X","",IF(I375="X","",IF(K375="X","","Elegir opción"))))</f>
        <v>Elegir opción</v>
      </c>
      <c r="N375" s="28" t="str">
        <f>IF(E375="X",3,IF(G375="X",2,IF(I375="X",1,IF(K375="X",0,"Promedio"))))</f>
        <v>Promedio</v>
      </c>
      <c r="O375" s="28"/>
    </row>
    <row r="376" spans="2:15" x14ac:dyDescent="0.25">
      <c r="B376" s="112"/>
      <c r="C376" s="109"/>
      <c r="D376" s="36"/>
      <c r="L376" s="30"/>
    </row>
    <row r="377" spans="2:15" x14ac:dyDescent="0.25">
      <c r="B377" s="112"/>
      <c r="C377" s="109"/>
      <c r="D377" s="36"/>
      <c r="L377" s="30"/>
    </row>
    <row r="378" spans="2:15" ht="15.6" thickBot="1" x14ac:dyDescent="0.3">
      <c r="B378" s="113"/>
      <c r="C378" s="110"/>
      <c r="D378" s="37"/>
      <c r="E378" s="38"/>
      <c r="F378" s="38"/>
      <c r="G378" s="38"/>
      <c r="H378" s="38"/>
      <c r="I378" s="38"/>
      <c r="J378" s="38"/>
      <c r="K378" s="38"/>
      <c r="L378" s="39"/>
    </row>
    <row r="379" spans="2:15" ht="8.4" customHeight="1" thickBot="1" x14ac:dyDescent="0.3"/>
    <row r="380" spans="2:15" x14ac:dyDescent="0.25">
      <c r="B380" s="111" t="s">
        <v>178</v>
      </c>
      <c r="C380" s="108" t="s">
        <v>469</v>
      </c>
      <c r="D380" s="22"/>
      <c r="E380" s="23"/>
      <c r="F380" s="24"/>
      <c r="G380" s="25"/>
      <c r="H380" s="25"/>
      <c r="I380" s="25"/>
      <c r="J380" s="25"/>
      <c r="K380" s="25"/>
      <c r="L380" s="26"/>
    </row>
    <row r="381" spans="2:15" ht="15.6" thickBot="1" x14ac:dyDescent="0.3">
      <c r="B381" s="112"/>
      <c r="C381" s="109"/>
      <c r="D381" s="27"/>
      <c r="E381" s="28"/>
      <c r="F381" s="29"/>
      <c r="L381" s="30"/>
    </row>
    <row r="382" spans="2:15" ht="16.2" thickBot="1" x14ac:dyDescent="0.35">
      <c r="B382" s="112"/>
      <c r="C382" s="109"/>
      <c r="D382" s="27"/>
      <c r="E382" s="31"/>
      <c r="F382" s="32" t="s">
        <v>0</v>
      </c>
      <c r="G382" s="33"/>
      <c r="H382" s="3" t="s">
        <v>2</v>
      </c>
      <c r="I382" s="33"/>
      <c r="J382" s="34" t="s">
        <v>3</v>
      </c>
      <c r="K382" s="33"/>
      <c r="L382" s="35" t="s">
        <v>4</v>
      </c>
      <c r="M382" s="2" t="str">
        <f>IF(E382="X","",IF(G382="X","",IF(I382="X","",IF(K382="X","","Elegir opción"))))</f>
        <v>Elegir opción</v>
      </c>
      <c r="N382" s="28" t="str">
        <f>IF(E382="X",3,IF(G382="X",2,IF(I382="X",1,IF(K382="X",0,"Promedio"))))</f>
        <v>Promedio</v>
      </c>
      <c r="O382" s="28"/>
    </row>
    <row r="383" spans="2:15" x14ac:dyDescent="0.25">
      <c r="B383" s="112"/>
      <c r="C383" s="109"/>
      <c r="D383" s="36"/>
      <c r="L383" s="30"/>
    </row>
    <row r="384" spans="2:15" x14ac:dyDescent="0.25">
      <c r="B384" s="112"/>
      <c r="C384" s="109"/>
      <c r="D384" s="36"/>
      <c r="L384" s="30"/>
    </row>
    <row r="385" spans="2:15" ht="15.6" thickBot="1" x14ac:dyDescent="0.3">
      <c r="B385" s="113"/>
      <c r="C385" s="110"/>
      <c r="D385" s="37"/>
      <c r="E385" s="38"/>
      <c r="F385" s="38"/>
      <c r="G385" s="38"/>
      <c r="H385" s="38"/>
      <c r="I385" s="38"/>
      <c r="J385" s="38"/>
      <c r="K385" s="38"/>
      <c r="L385" s="39"/>
    </row>
    <row r="386" spans="2:15" ht="8.4" customHeight="1" thickBot="1" x14ac:dyDescent="0.3"/>
    <row r="387" spans="2:15" x14ac:dyDescent="0.25">
      <c r="B387" s="111" t="s">
        <v>179</v>
      </c>
      <c r="C387" s="108" t="s">
        <v>470</v>
      </c>
      <c r="D387" s="22"/>
      <c r="E387" s="23"/>
      <c r="F387" s="24"/>
      <c r="G387" s="25"/>
      <c r="H387" s="25"/>
      <c r="I387" s="25"/>
      <c r="J387" s="25"/>
      <c r="K387" s="25"/>
      <c r="L387" s="26"/>
    </row>
    <row r="388" spans="2:15" ht="15.6" thickBot="1" x14ac:dyDescent="0.3">
      <c r="B388" s="112"/>
      <c r="C388" s="109"/>
      <c r="D388" s="27"/>
      <c r="E388" s="28"/>
      <c r="F388" s="29"/>
      <c r="L388" s="30"/>
    </row>
    <row r="389" spans="2:15" ht="16.2" thickBot="1" x14ac:dyDescent="0.35">
      <c r="B389" s="112"/>
      <c r="C389" s="109"/>
      <c r="D389" s="27"/>
      <c r="E389" s="31"/>
      <c r="F389" s="32" t="s">
        <v>0</v>
      </c>
      <c r="G389" s="33"/>
      <c r="H389" s="3" t="s">
        <v>2</v>
      </c>
      <c r="I389" s="33"/>
      <c r="J389" s="34" t="s">
        <v>3</v>
      </c>
      <c r="K389" s="33"/>
      <c r="L389" s="35" t="s">
        <v>4</v>
      </c>
      <c r="M389" s="2" t="str">
        <f>IF(E389="X","",IF(G389="X","",IF(I389="X","",IF(K389="X","","Elegir opción"))))</f>
        <v>Elegir opción</v>
      </c>
      <c r="N389" s="28" t="str">
        <f>IF(E389="X",3,IF(G389="X",2,IF(I389="X",1,IF(K389="X",0,"Promedio"))))</f>
        <v>Promedio</v>
      </c>
      <c r="O389" s="28"/>
    </row>
    <row r="390" spans="2:15" x14ac:dyDescent="0.25">
      <c r="B390" s="112"/>
      <c r="C390" s="109"/>
      <c r="D390" s="36"/>
      <c r="L390" s="30"/>
    </row>
    <row r="391" spans="2:15" x14ac:dyDescent="0.25">
      <c r="B391" s="112"/>
      <c r="C391" s="109"/>
      <c r="D391" s="36"/>
      <c r="L391" s="30"/>
    </row>
    <row r="392" spans="2:15" ht="15.6" thickBot="1" x14ac:dyDescent="0.3">
      <c r="B392" s="113"/>
      <c r="C392" s="110"/>
      <c r="D392" s="37"/>
      <c r="E392" s="38"/>
      <c r="F392" s="38"/>
      <c r="G392" s="38"/>
      <c r="H392" s="38"/>
      <c r="I392" s="38"/>
      <c r="J392" s="38"/>
      <c r="K392" s="38"/>
      <c r="L392" s="39"/>
    </row>
    <row r="393" spans="2:15" ht="8.4" customHeight="1" thickBot="1" x14ac:dyDescent="0.3"/>
    <row r="394" spans="2:15" x14ac:dyDescent="0.25">
      <c r="B394" s="111" t="s">
        <v>180</v>
      </c>
      <c r="C394" s="108" t="s">
        <v>471</v>
      </c>
      <c r="D394" s="22"/>
      <c r="E394" s="23"/>
      <c r="F394" s="24"/>
      <c r="G394" s="25"/>
      <c r="H394" s="25"/>
      <c r="I394" s="25"/>
      <c r="J394" s="25"/>
      <c r="K394" s="25"/>
      <c r="L394" s="26"/>
    </row>
    <row r="395" spans="2:15" ht="15.6" thickBot="1" x14ac:dyDescent="0.3">
      <c r="B395" s="112"/>
      <c r="C395" s="109"/>
      <c r="D395" s="27"/>
      <c r="E395" s="28"/>
      <c r="F395" s="29"/>
      <c r="L395" s="30"/>
    </row>
    <row r="396" spans="2:15" ht="16.2" thickBot="1" x14ac:dyDescent="0.35">
      <c r="B396" s="112"/>
      <c r="C396" s="109"/>
      <c r="D396" s="27"/>
      <c r="E396" s="31"/>
      <c r="F396" s="32" t="s">
        <v>0</v>
      </c>
      <c r="G396" s="33"/>
      <c r="H396" s="3" t="s">
        <v>2</v>
      </c>
      <c r="I396" s="33"/>
      <c r="J396" s="34" t="s">
        <v>3</v>
      </c>
      <c r="K396" s="33"/>
      <c r="L396" s="35" t="s">
        <v>4</v>
      </c>
      <c r="M396" s="2" t="str">
        <f>IF(E396="X","",IF(G396="X","",IF(I396="X","",IF(K396="X","","Elegir opción"))))</f>
        <v>Elegir opción</v>
      </c>
      <c r="N396" s="28" t="str">
        <f>IF(E396="X",3,IF(G396="X",2,IF(I396="X",1,IF(K396="X",0,"Promedio"))))</f>
        <v>Promedio</v>
      </c>
      <c r="O396" s="28"/>
    </row>
    <row r="397" spans="2:15" x14ac:dyDescent="0.25">
      <c r="B397" s="112"/>
      <c r="C397" s="109"/>
      <c r="D397" s="36"/>
      <c r="L397" s="30"/>
    </row>
    <row r="398" spans="2:15" x14ac:dyDescent="0.25">
      <c r="B398" s="112"/>
      <c r="C398" s="109"/>
      <c r="D398" s="36"/>
      <c r="L398" s="30"/>
    </row>
    <row r="399" spans="2:15" ht="15.6" thickBot="1" x14ac:dyDescent="0.3">
      <c r="B399" s="113"/>
      <c r="C399" s="110"/>
      <c r="D399" s="37"/>
      <c r="E399" s="38"/>
      <c r="F399" s="38"/>
      <c r="G399" s="38"/>
      <c r="H399" s="38"/>
      <c r="I399" s="38"/>
      <c r="J399" s="38"/>
      <c r="K399" s="38"/>
      <c r="L399" s="39"/>
    </row>
    <row r="400" spans="2:15" ht="8.4" customHeight="1" thickBot="1" x14ac:dyDescent="0.3"/>
    <row r="401" spans="2:15" x14ac:dyDescent="0.25">
      <c r="B401" s="111" t="s">
        <v>181</v>
      </c>
      <c r="C401" s="108" t="s">
        <v>154</v>
      </c>
      <c r="D401" s="22"/>
      <c r="E401" s="23"/>
      <c r="F401" s="24"/>
      <c r="G401" s="25"/>
      <c r="H401" s="25"/>
      <c r="I401" s="25"/>
      <c r="J401" s="25"/>
      <c r="K401" s="25"/>
      <c r="L401" s="26"/>
    </row>
    <row r="402" spans="2:15" ht="15.6" thickBot="1" x14ac:dyDescent="0.3">
      <c r="B402" s="112"/>
      <c r="C402" s="109"/>
      <c r="D402" s="27"/>
      <c r="E402" s="28"/>
      <c r="F402" s="29"/>
      <c r="L402" s="30"/>
    </row>
    <row r="403" spans="2:15" ht="16.2" thickBot="1" x14ac:dyDescent="0.35">
      <c r="B403" s="112"/>
      <c r="C403" s="109"/>
      <c r="D403" s="27"/>
      <c r="E403" s="31"/>
      <c r="F403" s="32" t="s">
        <v>0</v>
      </c>
      <c r="G403" s="33"/>
      <c r="H403" s="3" t="s">
        <v>2</v>
      </c>
      <c r="I403" s="33"/>
      <c r="J403" s="34" t="s">
        <v>3</v>
      </c>
      <c r="K403" s="33"/>
      <c r="L403" s="35" t="s">
        <v>4</v>
      </c>
      <c r="M403" s="2" t="str">
        <f>IF(E403="X","",IF(G403="X","",IF(I403="X","",IF(K403="X","","Elegir opción"))))</f>
        <v>Elegir opción</v>
      </c>
      <c r="N403" s="28" t="str">
        <f>IF(E403="X",3,IF(G403="X",2,IF(I403="X",1,IF(K403="X",0,"Promedio"))))</f>
        <v>Promedio</v>
      </c>
      <c r="O403" s="28"/>
    </row>
    <row r="404" spans="2:15" x14ac:dyDescent="0.25">
      <c r="B404" s="112"/>
      <c r="C404" s="109"/>
      <c r="D404" s="36"/>
      <c r="L404" s="30"/>
    </row>
    <row r="405" spans="2:15" x14ac:dyDescent="0.25">
      <c r="B405" s="112"/>
      <c r="C405" s="109"/>
      <c r="D405" s="36"/>
      <c r="L405" s="30"/>
    </row>
    <row r="406" spans="2:15" ht="15.6" thickBot="1" x14ac:dyDescent="0.3">
      <c r="B406" s="113"/>
      <c r="C406" s="110"/>
      <c r="D406" s="37"/>
      <c r="E406" s="38"/>
      <c r="F406" s="38"/>
      <c r="G406" s="38"/>
      <c r="H406" s="38"/>
      <c r="I406" s="38"/>
      <c r="J406" s="38"/>
      <c r="K406" s="38"/>
      <c r="L406" s="39"/>
    </row>
    <row r="407" spans="2:15" ht="8.4" customHeight="1" thickBot="1" x14ac:dyDescent="0.3"/>
    <row r="408" spans="2:15" x14ac:dyDescent="0.25">
      <c r="B408" s="111" t="s">
        <v>182</v>
      </c>
      <c r="C408" s="108" t="s">
        <v>155</v>
      </c>
      <c r="D408" s="22"/>
      <c r="E408" s="23"/>
      <c r="F408" s="24"/>
      <c r="G408" s="25"/>
      <c r="H408" s="25"/>
      <c r="I408" s="25"/>
      <c r="J408" s="25"/>
      <c r="K408" s="25"/>
      <c r="L408" s="26"/>
    </row>
    <row r="409" spans="2:15" ht="15.6" thickBot="1" x14ac:dyDescent="0.3">
      <c r="B409" s="112"/>
      <c r="C409" s="109"/>
      <c r="D409" s="27"/>
      <c r="E409" s="28"/>
      <c r="F409" s="29"/>
      <c r="L409" s="30"/>
    </row>
    <row r="410" spans="2:15" ht="16.2" thickBot="1" x14ac:dyDescent="0.35">
      <c r="B410" s="112"/>
      <c r="C410" s="109"/>
      <c r="D410" s="27"/>
      <c r="E410" s="31"/>
      <c r="F410" s="32" t="s">
        <v>0</v>
      </c>
      <c r="G410" s="33"/>
      <c r="H410" s="3" t="s">
        <v>2</v>
      </c>
      <c r="I410" s="33"/>
      <c r="J410" s="34" t="s">
        <v>3</v>
      </c>
      <c r="K410" s="33"/>
      <c r="L410" s="35" t="s">
        <v>4</v>
      </c>
      <c r="M410" s="2" t="str">
        <f>IF(E410="X","",IF(G410="X","",IF(I410="X","",IF(K410="X","","Elegir opción"))))</f>
        <v>Elegir opción</v>
      </c>
      <c r="N410" s="28" t="str">
        <f>IF(E410="X",3,IF(G410="X",2,IF(I410="X",1,IF(K410="X",0,"Promedio"))))</f>
        <v>Promedio</v>
      </c>
      <c r="O410" s="28"/>
    </row>
    <row r="411" spans="2:15" x14ac:dyDescent="0.25">
      <c r="B411" s="112"/>
      <c r="C411" s="109"/>
      <c r="D411" s="36"/>
      <c r="L411" s="30"/>
    </row>
    <row r="412" spans="2:15" x14ac:dyDescent="0.25">
      <c r="B412" s="112"/>
      <c r="C412" s="109"/>
      <c r="D412" s="36"/>
      <c r="L412" s="30"/>
    </row>
    <row r="413" spans="2:15" ht="15.6" thickBot="1" x14ac:dyDescent="0.3">
      <c r="B413" s="113"/>
      <c r="C413" s="110"/>
      <c r="D413" s="37"/>
      <c r="E413" s="38"/>
      <c r="F413" s="38"/>
      <c r="G413" s="38"/>
      <c r="H413" s="38"/>
      <c r="I413" s="38"/>
      <c r="J413" s="38"/>
      <c r="K413" s="38"/>
      <c r="L413" s="39"/>
    </row>
    <row r="414" spans="2:15" ht="8.4" customHeight="1" thickBot="1" x14ac:dyDescent="0.3"/>
    <row r="415" spans="2:15" x14ac:dyDescent="0.25">
      <c r="B415" s="111" t="s">
        <v>183</v>
      </c>
      <c r="C415" s="108" t="s">
        <v>156</v>
      </c>
      <c r="D415" s="22"/>
      <c r="E415" s="23"/>
      <c r="F415" s="24"/>
      <c r="G415" s="25"/>
      <c r="H415" s="25"/>
      <c r="I415" s="25"/>
      <c r="J415" s="25"/>
      <c r="K415" s="25"/>
      <c r="L415" s="26"/>
    </row>
    <row r="416" spans="2:15" ht="15.6" thickBot="1" x14ac:dyDescent="0.3">
      <c r="B416" s="112"/>
      <c r="C416" s="109"/>
      <c r="D416" s="27"/>
      <c r="E416" s="28"/>
      <c r="F416" s="29"/>
      <c r="L416" s="30"/>
    </row>
    <row r="417" spans="2:18" ht="16.2" thickBot="1" x14ac:dyDescent="0.35">
      <c r="B417" s="112"/>
      <c r="C417" s="109"/>
      <c r="D417" s="27"/>
      <c r="E417" s="31"/>
      <c r="F417" s="32" t="s">
        <v>0</v>
      </c>
      <c r="G417" s="33"/>
      <c r="H417" s="3" t="s">
        <v>2</v>
      </c>
      <c r="I417" s="33"/>
      <c r="J417" s="34" t="s">
        <v>3</v>
      </c>
      <c r="K417" s="33"/>
      <c r="L417" s="35" t="s">
        <v>4</v>
      </c>
      <c r="M417" s="2" t="str">
        <f>IF(E417="X","",IF(G417="X","",IF(I417="X","",IF(K417="X","","Elegir opción"))))</f>
        <v>Elegir opción</v>
      </c>
      <c r="N417" s="28" t="str">
        <f>IF(E417="X",3,IF(G417="X",2,IF(I417="X",1,IF(K417="X",0,"Promedio"))))</f>
        <v>Promedio</v>
      </c>
      <c r="O417" s="28"/>
      <c r="Q417" s="28"/>
      <c r="R417" s="28"/>
    </row>
    <row r="418" spans="2:18" x14ac:dyDescent="0.25">
      <c r="B418" s="112"/>
      <c r="C418" s="109"/>
      <c r="D418" s="36"/>
      <c r="L418" s="30"/>
    </row>
    <row r="419" spans="2:18" x14ac:dyDescent="0.25">
      <c r="B419" s="112"/>
      <c r="C419" s="109"/>
      <c r="D419" s="36"/>
      <c r="L419" s="30"/>
    </row>
    <row r="420" spans="2:18" ht="15.6" thickBot="1" x14ac:dyDescent="0.3">
      <c r="B420" s="113"/>
      <c r="C420" s="110"/>
      <c r="D420" s="37"/>
      <c r="E420" s="38"/>
      <c r="F420" s="38"/>
      <c r="G420" s="38"/>
      <c r="H420" s="38"/>
      <c r="I420" s="38"/>
      <c r="J420" s="38"/>
      <c r="K420" s="38"/>
      <c r="L420" s="39"/>
    </row>
    <row r="421" spans="2:18" ht="8.4" customHeight="1" thickBot="1" x14ac:dyDescent="0.3"/>
    <row r="422" spans="2:18" x14ac:dyDescent="0.25">
      <c r="B422" s="111" t="s">
        <v>184</v>
      </c>
      <c r="C422" s="108" t="s">
        <v>157</v>
      </c>
      <c r="D422" s="22"/>
      <c r="E422" s="23"/>
      <c r="F422" s="24"/>
      <c r="G422" s="25"/>
      <c r="H422" s="25"/>
      <c r="I422" s="25"/>
      <c r="J422" s="25"/>
      <c r="K422" s="25"/>
      <c r="L422" s="26"/>
    </row>
    <row r="423" spans="2:18" ht="15.6" thickBot="1" x14ac:dyDescent="0.3">
      <c r="B423" s="112"/>
      <c r="C423" s="109"/>
      <c r="D423" s="27"/>
      <c r="E423" s="28"/>
      <c r="F423" s="29"/>
      <c r="L423" s="30"/>
    </row>
    <row r="424" spans="2:18" ht="16.2" thickBot="1" x14ac:dyDescent="0.35">
      <c r="B424" s="112"/>
      <c r="C424" s="109"/>
      <c r="D424" s="27"/>
      <c r="E424" s="31"/>
      <c r="F424" s="32" t="s">
        <v>0</v>
      </c>
      <c r="G424" s="33"/>
      <c r="H424" s="3" t="s">
        <v>2</v>
      </c>
      <c r="I424" s="33"/>
      <c r="J424" s="34" t="s">
        <v>3</v>
      </c>
      <c r="K424" s="33"/>
      <c r="L424" s="35" t="s">
        <v>4</v>
      </c>
      <c r="M424" s="2" t="str">
        <f>IF(E424="X","",IF(G424="X","",IF(I424="X","",IF(K424="X","","Elegir opción"))))</f>
        <v>Elegir opción</v>
      </c>
      <c r="N424" s="28" t="str">
        <f>IF(E424="X",3,IF(G424="X",2,IF(I424="X",1,IF(K424="X",0,"Promedio"))))</f>
        <v>Promedio</v>
      </c>
      <c r="O424" s="28"/>
    </row>
    <row r="425" spans="2:18" x14ac:dyDescent="0.25">
      <c r="B425" s="112"/>
      <c r="C425" s="109"/>
      <c r="D425" s="36"/>
      <c r="L425" s="30"/>
    </row>
    <row r="426" spans="2:18" x14ac:dyDescent="0.25">
      <c r="B426" s="112"/>
      <c r="C426" s="109"/>
      <c r="D426" s="36"/>
      <c r="L426" s="30"/>
    </row>
    <row r="427" spans="2:18" ht="8.4" customHeight="1" thickBot="1" x14ac:dyDescent="0.3">
      <c r="B427" s="113"/>
      <c r="C427" s="110"/>
      <c r="D427" s="37"/>
      <c r="E427" s="38"/>
      <c r="F427" s="38"/>
      <c r="G427" s="38"/>
      <c r="H427" s="38"/>
      <c r="I427" s="38"/>
      <c r="J427" s="38"/>
      <c r="K427" s="38"/>
      <c r="L427" s="39"/>
    </row>
    <row r="428" spans="2:18" ht="8.4" customHeight="1" thickBot="1" x14ac:dyDescent="0.3"/>
    <row r="429" spans="2:18" x14ac:dyDescent="0.25">
      <c r="B429" s="111" t="s">
        <v>185</v>
      </c>
      <c r="C429" s="108" t="s">
        <v>158</v>
      </c>
      <c r="D429" s="22"/>
      <c r="E429" s="23"/>
      <c r="F429" s="24"/>
      <c r="G429" s="25"/>
      <c r="H429" s="25"/>
      <c r="I429" s="25"/>
      <c r="J429" s="25"/>
      <c r="K429" s="25"/>
      <c r="L429" s="26"/>
    </row>
    <row r="430" spans="2:18" ht="15.6" thickBot="1" x14ac:dyDescent="0.3">
      <c r="B430" s="112"/>
      <c r="C430" s="109"/>
      <c r="D430" s="27"/>
      <c r="E430" s="28"/>
      <c r="F430" s="29"/>
      <c r="L430" s="30"/>
    </row>
    <row r="431" spans="2:18" ht="16.2" thickBot="1" x14ac:dyDescent="0.35">
      <c r="B431" s="112"/>
      <c r="C431" s="109"/>
      <c r="D431" s="27"/>
      <c r="E431" s="31"/>
      <c r="F431" s="32" t="s">
        <v>0</v>
      </c>
      <c r="G431" s="33"/>
      <c r="H431" s="3" t="s">
        <v>2</v>
      </c>
      <c r="I431" s="33"/>
      <c r="J431" s="34" t="s">
        <v>3</v>
      </c>
      <c r="K431" s="33"/>
      <c r="L431" s="35" t="s">
        <v>4</v>
      </c>
      <c r="M431" s="2" t="str">
        <f>IF(E431="X","",IF(G431="X","",IF(I431="X","",IF(K431="X","","Elegir opción"))))</f>
        <v>Elegir opción</v>
      </c>
      <c r="N431" s="28" t="str">
        <f>IF(E431="X",3,IF(G431="X",2,IF(I431="X",1,IF(K431="X",0,"Promedio"))))</f>
        <v>Promedio</v>
      </c>
      <c r="O431" s="28"/>
    </row>
    <row r="432" spans="2:18" x14ac:dyDescent="0.25">
      <c r="B432" s="112"/>
      <c r="C432" s="109"/>
      <c r="D432" s="36"/>
      <c r="L432" s="30"/>
    </row>
    <row r="433" spans="2:15" x14ac:dyDescent="0.25">
      <c r="B433" s="112"/>
      <c r="C433" s="109"/>
      <c r="D433" s="36"/>
      <c r="L433" s="30"/>
    </row>
    <row r="434" spans="2:15" ht="15.6" thickBot="1" x14ac:dyDescent="0.3">
      <c r="B434" s="113"/>
      <c r="C434" s="110"/>
      <c r="D434" s="37"/>
      <c r="E434" s="38"/>
      <c r="F434" s="38"/>
      <c r="G434" s="38"/>
      <c r="H434" s="38"/>
      <c r="I434" s="38"/>
      <c r="J434" s="38"/>
      <c r="K434" s="38"/>
      <c r="L434" s="39"/>
    </row>
    <row r="435" spans="2:15" ht="8.4" customHeight="1" thickBot="1" x14ac:dyDescent="0.3"/>
    <row r="436" spans="2:15" x14ac:dyDescent="0.25">
      <c r="B436" s="111" t="s">
        <v>186</v>
      </c>
      <c r="C436" s="108" t="s">
        <v>159</v>
      </c>
      <c r="D436" s="22"/>
      <c r="E436" s="23"/>
      <c r="F436" s="24"/>
      <c r="G436" s="25"/>
      <c r="H436" s="25"/>
      <c r="I436" s="25"/>
      <c r="J436" s="25"/>
      <c r="K436" s="25"/>
      <c r="L436" s="26"/>
    </row>
    <row r="437" spans="2:15" ht="15.6" thickBot="1" x14ac:dyDescent="0.3">
      <c r="B437" s="112"/>
      <c r="C437" s="109"/>
      <c r="D437" s="27"/>
      <c r="E437" s="28"/>
      <c r="F437" s="29"/>
      <c r="L437" s="30"/>
    </row>
    <row r="438" spans="2:15" ht="16.2" thickBot="1" x14ac:dyDescent="0.35">
      <c r="B438" s="112"/>
      <c r="C438" s="109"/>
      <c r="D438" s="27"/>
      <c r="E438" s="31"/>
      <c r="F438" s="32" t="s">
        <v>0</v>
      </c>
      <c r="G438" s="33"/>
      <c r="H438" s="3" t="s">
        <v>2</v>
      </c>
      <c r="I438" s="33"/>
      <c r="J438" s="34" t="s">
        <v>3</v>
      </c>
      <c r="K438" s="33"/>
      <c r="L438" s="35" t="s">
        <v>4</v>
      </c>
      <c r="M438" s="2" t="str">
        <f>IF(E438="X","",IF(G438="X","",IF(I438="X","",IF(K438="X","","Elegir opción"))))</f>
        <v>Elegir opción</v>
      </c>
      <c r="N438" s="28" t="str">
        <f>IF(E438="X",3,IF(G438="X",2,IF(I438="X",1,IF(K438="X",0,"Promedio"))))</f>
        <v>Promedio</v>
      </c>
      <c r="O438" s="28"/>
    </row>
    <row r="439" spans="2:15" x14ac:dyDescent="0.25">
      <c r="B439" s="112"/>
      <c r="C439" s="109"/>
      <c r="D439" s="36"/>
      <c r="L439" s="30"/>
    </row>
    <row r="440" spans="2:15" x14ac:dyDescent="0.25">
      <c r="B440" s="112"/>
      <c r="C440" s="109"/>
      <c r="D440" s="36"/>
      <c r="L440" s="30"/>
    </row>
    <row r="441" spans="2:15" ht="15.6" thickBot="1" x14ac:dyDescent="0.3">
      <c r="B441" s="113"/>
      <c r="C441" s="110"/>
      <c r="D441" s="37"/>
      <c r="E441" s="38"/>
      <c r="F441" s="38"/>
      <c r="G441" s="38"/>
      <c r="H441" s="38"/>
      <c r="I441" s="38"/>
      <c r="J441" s="38"/>
      <c r="K441" s="38"/>
      <c r="L441" s="39"/>
    </row>
    <row r="442" spans="2:15" ht="8.4" customHeight="1" thickBot="1" x14ac:dyDescent="0.3"/>
    <row r="443" spans="2:15" x14ac:dyDescent="0.25">
      <c r="B443" s="111" t="s">
        <v>187</v>
      </c>
      <c r="C443" s="108" t="s">
        <v>160</v>
      </c>
      <c r="D443" s="22"/>
      <c r="E443" s="23"/>
      <c r="F443" s="24"/>
      <c r="G443" s="25"/>
      <c r="H443" s="25"/>
      <c r="I443" s="25"/>
      <c r="J443" s="25"/>
      <c r="K443" s="25"/>
      <c r="L443" s="26"/>
    </row>
    <row r="444" spans="2:15" ht="15.6" thickBot="1" x14ac:dyDescent="0.3">
      <c r="B444" s="112"/>
      <c r="C444" s="109"/>
      <c r="D444" s="27"/>
      <c r="E444" s="28"/>
      <c r="F444" s="29"/>
      <c r="L444" s="30"/>
    </row>
    <row r="445" spans="2:15" ht="16.2" thickBot="1" x14ac:dyDescent="0.35">
      <c r="B445" s="112"/>
      <c r="C445" s="109"/>
      <c r="D445" s="27"/>
      <c r="E445" s="31"/>
      <c r="F445" s="32" t="s">
        <v>0</v>
      </c>
      <c r="G445" s="33"/>
      <c r="H445" s="3" t="s">
        <v>2</v>
      </c>
      <c r="I445" s="33"/>
      <c r="J445" s="34" t="s">
        <v>3</v>
      </c>
      <c r="K445" s="33"/>
      <c r="L445" s="35" t="s">
        <v>4</v>
      </c>
      <c r="M445" s="2" t="str">
        <f>IF(E445="X","",IF(G445="X","",IF(I445="X","",IF(K445="X","","Elegir opción"))))</f>
        <v>Elegir opción</v>
      </c>
      <c r="N445" s="28" t="str">
        <f>IF(E445="X",3,IF(G445="X",2,IF(I445="X",1,IF(K445="X",0,"Promedio"))))</f>
        <v>Promedio</v>
      </c>
      <c r="O445" s="28"/>
    </row>
    <row r="446" spans="2:15" x14ac:dyDescent="0.25">
      <c r="B446" s="112"/>
      <c r="C446" s="109"/>
      <c r="D446" s="36"/>
      <c r="L446" s="30"/>
    </row>
    <row r="447" spans="2:15" x14ac:dyDescent="0.25">
      <c r="B447" s="112"/>
      <c r="C447" s="109"/>
      <c r="D447" s="36"/>
      <c r="L447" s="30"/>
    </row>
    <row r="448" spans="2:15" ht="15.6" thickBot="1" x14ac:dyDescent="0.3">
      <c r="B448" s="113"/>
      <c r="C448" s="110"/>
      <c r="D448" s="37"/>
      <c r="E448" s="38"/>
      <c r="F448" s="38"/>
      <c r="G448" s="38"/>
      <c r="H448" s="38"/>
      <c r="I448" s="38"/>
      <c r="J448" s="38"/>
      <c r="K448" s="38"/>
      <c r="L448" s="39"/>
    </row>
    <row r="449" spans="2:15" ht="8.4" customHeight="1" thickBot="1" x14ac:dyDescent="0.3"/>
    <row r="450" spans="2:15" x14ac:dyDescent="0.25">
      <c r="B450" s="111" t="s">
        <v>188</v>
      </c>
      <c r="C450" s="108" t="s">
        <v>161</v>
      </c>
      <c r="D450" s="22"/>
      <c r="E450" s="23"/>
      <c r="F450" s="24"/>
      <c r="G450" s="25"/>
      <c r="H450" s="25"/>
      <c r="I450" s="25"/>
      <c r="J450" s="25"/>
      <c r="K450" s="25"/>
      <c r="L450" s="26"/>
    </row>
    <row r="451" spans="2:15" ht="15.6" thickBot="1" x14ac:dyDescent="0.3">
      <c r="B451" s="112"/>
      <c r="C451" s="109"/>
      <c r="D451" s="27"/>
      <c r="E451" s="28"/>
      <c r="F451" s="29"/>
      <c r="L451" s="30"/>
    </row>
    <row r="452" spans="2:15" ht="16.2" thickBot="1" x14ac:dyDescent="0.35">
      <c r="B452" s="112"/>
      <c r="C452" s="109"/>
      <c r="D452" s="27"/>
      <c r="E452" s="31"/>
      <c r="F452" s="32" t="s">
        <v>0</v>
      </c>
      <c r="G452" s="33"/>
      <c r="H452" s="3" t="s">
        <v>2</v>
      </c>
      <c r="I452" s="33"/>
      <c r="J452" s="34" t="s">
        <v>3</v>
      </c>
      <c r="K452" s="33"/>
      <c r="L452" s="35" t="s">
        <v>4</v>
      </c>
      <c r="M452" s="2" t="str">
        <f>IF(E452="X","",IF(G452="X","",IF(I452="X","",IF(K452="X","","Elegir opción"))))</f>
        <v>Elegir opción</v>
      </c>
      <c r="N452" s="28" t="str">
        <f>IF(E452="X",3,IF(G452="X",2,IF(I452="X",1,IF(K452="X",0,"Promedio"))))</f>
        <v>Promedio</v>
      </c>
      <c r="O452" s="28"/>
    </row>
    <row r="453" spans="2:15" x14ac:dyDescent="0.25">
      <c r="B453" s="112"/>
      <c r="C453" s="109"/>
      <c r="D453" s="36"/>
      <c r="L453" s="30"/>
    </row>
    <row r="454" spans="2:15" x14ac:dyDescent="0.25">
      <c r="B454" s="112"/>
      <c r="C454" s="109"/>
      <c r="D454" s="36"/>
      <c r="L454" s="30"/>
    </row>
    <row r="455" spans="2:15" ht="15.6" thickBot="1" x14ac:dyDescent="0.3">
      <c r="B455" s="113"/>
      <c r="C455" s="110"/>
      <c r="D455" s="37"/>
      <c r="E455" s="38"/>
      <c r="F455" s="38"/>
      <c r="G455" s="38"/>
      <c r="H455" s="38"/>
      <c r="I455" s="38"/>
      <c r="J455" s="38"/>
      <c r="K455" s="38"/>
      <c r="L455" s="39"/>
    </row>
    <row r="456" spans="2:15" ht="8.4" customHeight="1" thickBot="1" x14ac:dyDescent="0.3"/>
    <row r="457" spans="2:15" x14ac:dyDescent="0.25">
      <c r="B457" s="111" t="s">
        <v>189</v>
      </c>
      <c r="C457" s="108" t="s">
        <v>472</v>
      </c>
      <c r="D457" s="22"/>
      <c r="E457" s="23"/>
      <c r="F457" s="24"/>
      <c r="G457" s="25"/>
      <c r="H457" s="25"/>
      <c r="I457" s="25"/>
      <c r="J457" s="25"/>
      <c r="K457" s="25"/>
      <c r="L457" s="26"/>
    </row>
    <row r="458" spans="2:15" ht="15.6" thickBot="1" x14ac:dyDescent="0.3">
      <c r="B458" s="112"/>
      <c r="C458" s="109"/>
      <c r="D458" s="27"/>
      <c r="E458" s="28"/>
      <c r="F458" s="29"/>
      <c r="L458" s="30"/>
    </row>
    <row r="459" spans="2:15" ht="16.2" thickBot="1" x14ac:dyDescent="0.35">
      <c r="B459" s="112"/>
      <c r="C459" s="109"/>
      <c r="D459" s="27"/>
      <c r="E459" s="31"/>
      <c r="F459" s="32" t="s">
        <v>0</v>
      </c>
      <c r="G459" s="33"/>
      <c r="H459" s="3" t="s">
        <v>2</v>
      </c>
      <c r="I459" s="33"/>
      <c r="J459" s="34" t="s">
        <v>3</v>
      </c>
      <c r="K459" s="33"/>
      <c r="L459" s="35" t="s">
        <v>4</v>
      </c>
      <c r="M459" s="2" t="str">
        <f>IF(E459="X","",IF(G459="X","",IF(I459="X","",IF(K459="X","","Elegir opción"))))</f>
        <v>Elegir opción</v>
      </c>
      <c r="N459" s="28" t="str">
        <f>IF(E459="X",3,IF(G459="X",2,IF(I459="X",1,IF(K459="X",0,"Promedio"))))</f>
        <v>Promedio</v>
      </c>
      <c r="O459" s="28"/>
    </row>
    <row r="460" spans="2:15" x14ac:dyDescent="0.25">
      <c r="B460" s="112"/>
      <c r="C460" s="109"/>
      <c r="D460" s="36"/>
      <c r="L460" s="30"/>
    </row>
    <row r="461" spans="2:15" x14ac:dyDescent="0.25">
      <c r="B461" s="112"/>
      <c r="C461" s="109"/>
      <c r="D461" s="36"/>
      <c r="L461" s="30"/>
    </row>
    <row r="462" spans="2:15" ht="15.6" thickBot="1" x14ac:dyDescent="0.3">
      <c r="B462" s="113"/>
      <c r="C462" s="110"/>
      <c r="D462" s="37"/>
      <c r="E462" s="38"/>
      <c r="F462" s="38"/>
      <c r="G462" s="38"/>
      <c r="H462" s="38"/>
      <c r="I462" s="38"/>
      <c r="J462" s="38"/>
      <c r="K462" s="38"/>
      <c r="L462" s="39"/>
    </row>
    <row r="463" spans="2:15" ht="8.4" customHeight="1" thickBot="1" x14ac:dyDescent="0.3"/>
    <row r="464" spans="2:15" x14ac:dyDescent="0.25">
      <c r="B464" s="111" t="s">
        <v>190</v>
      </c>
      <c r="C464" s="108" t="s">
        <v>162</v>
      </c>
      <c r="D464" s="22"/>
      <c r="E464" s="23"/>
      <c r="F464" s="24"/>
      <c r="G464" s="25"/>
      <c r="H464" s="25"/>
      <c r="I464" s="25"/>
      <c r="J464" s="25"/>
      <c r="K464" s="25"/>
      <c r="L464" s="26"/>
    </row>
    <row r="465" spans="2:15" ht="15.6" thickBot="1" x14ac:dyDescent="0.3">
      <c r="B465" s="112"/>
      <c r="C465" s="109"/>
      <c r="D465" s="27"/>
      <c r="E465" s="28"/>
      <c r="F465" s="29"/>
      <c r="L465" s="30"/>
    </row>
    <row r="466" spans="2:15" ht="16.2" thickBot="1" x14ac:dyDescent="0.35">
      <c r="B466" s="112"/>
      <c r="C466" s="109"/>
      <c r="D466" s="27"/>
      <c r="E466" s="31"/>
      <c r="F466" s="32" t="s">
        <v>0</v>
      </c>
      <c r="G466" s="33"/>
      <c r="H466" s="3" t="s">
        <v>2</v>
      </c>
      <c r="I466" s="33"/>
      <c r="J466" s="34" t="s">
        <v>3</v>
      </c>
      <c r="K466" s="33"/>
      <c r="L466" s="35" t="s">
        <v>4</v>
      </c>
      <c r="M466" s="2" t="str">
        <f>IF(E466="X","",IF(G466="X","",IF(I466="X","",IF(K466="X","","Elegir opción"))))</f>
        <v>Elegir opción</v>
      </c>
      <c r="N466" s="28" t="str">
        <f>IF(E466="X",3,IF(G466="X",2,IF(I466="X",1,IF(K466="X",0,"Promedio"))))</f>
        <v>Promedio</v>
      </c>
      <c r="O466" s="28"/>
    </row>
    <row r="467" spans="2:15" x14ac:dyDescent="0.25">
      <c r="B467" s="112"/>
      <c r="C467" s="109"/>
      <c r="D467" s="36"/>
      <c r="L467" s="30"/>
    </row>
    <row r="468" spans="2:15" x14ac:dyDescent="0.25">
      <c r="B468" s="112"/>
      <c r="C468" s="109"/>
      <c r="D468" s="36"/>
      <c r="L468" s="30"/>
    </row>
    <row r="469" spans="2:15" ht="15.6" thickBot="1" x14ac:dyDescent="0.3">
      <c r="B469" s="113"/>
      <c r="C469" s="110"/>
      <c r="D469" s="37"/>
      <c r="E469" s="38"/>
      <c r="F469" s="38"/>
      <c r="G469" s="38"/>
      <c r="H469" s="38"/>
      <c r="I469" s="38"/>
      <c r="J469" s="38"/>
      <c r="K469" s="38"/>
      <c r="L469" s="39"/>
    </row>
    <row r="470" spans="2:15" ht="8.4" customHeight="1" thickBot="1" x14ac:dyDescent="0.3"/>
    <row r="471" spans="2:15" x14ac:dyDescent="0.25">
      <c r="B471" s="111" t="s">
        <v>191</v>
      </c>
      <c r="C471" s="108" t="s">
        <v>163</v>
      </c>
      <c r="D471" s="22"/>
      <c r="E471" s="23"/>
      <c r="F471" s="24"/>
      <c r="G471" s="25"/>
      <c r="H471" s="25"/>
      <c r="I471" s="25"/>
      <c r="J471" s="25"/>
      <c r="K471" s="25"/>
      <c r="L471" s="26"/>
    </row>
    <row r="472" spans="2:15" ht="15.6" thickBot="1" x14ac:dyDescent="0.3">
      <c r="B472" s="112"/>
      <c r="C472" s="109"/>
      <c r="D472" s="27"/>
      <c r="E472" s="28"/>
      <c r="F472" s="29"/>
      <c r="L472" s="30"/>
    </row>
    <row r="473" spans="2:15" ht="16.2" thickBot="1" x14ac:dyDescent="0.35">
      <c r="B473" s="112"/>
      <c r="C473" s="109"/>
      <c r="D473" s="27"/>
      <c r="E473" s="31"/>
      <c r="F473" s="32" t="s">
        <v>0</v>
      </c>
      <c r="G473" s="33"/>
      <c r="H473" s="3" t="s">
        <v>2</v>
      </c>
      <c r="I473" s="33"/>
      <c r="J473" s="34" t="s">
        <v>3</v>
      </c>
      <c r="K473" s="33"/>
      <c r="L473" s="35" t="s">
        <v>4</v>
      </c>
      <c r="M473" s="2" t="str">
        <f>IF(E473="X","",IF(G473="X","",IF(I473="X","",IF(K473="X","","Elegir opción"))))</f>
        <v>Elegir opción</v>
      </c>
      <c r="N473" s="28" t="str">
        <f>IF(E473="X",3,IF(G473="X",2,IF(I473="X",1,IF(K473="X",0,"Promedio"))))</f>
        <v>Promedio</v>
      </c>
      <c r="O473" s="28"/>
    </row>
    <row r="474" spans="2:15" x14ac:dyDescent="0.25">
      <c r="B474" s="112"/>
      <c r="C474" s="109"/>
      <c r="D474" s="36"/>
      <c r="L474" s="30"/>
    </row>
    <row r="475" spans="2:15" x14ac:dyDescent="0.25">
      <c r="B475" s="112"/>
      <c r="C475" s="109"/>
      <c r="D475" s="36"/>
      <c r="L475" s="30"/>
    </row>
    <row r="476" spans="2:15" ht="15.6" thickBot="1" x14ac:dyDescent="0.3">
      <c r="B476" s="113"/>
      <c r="C476" s="110"/>
      <c r="D476" s="37"/>
      <c r="E476" s="38"/>
      <c r="F476" s="38"/>
      <c r="G476" s="38"/>
      <c r="H476" s="38"/>
      <c r="I476" s="38"/>
      <c r="J476" s="38"/>
      <c r="K476" s="38"/>
      <c r="L476" s="39"/>
    </row>
    <row r="478" spans="2:15" ht="15.6" x14ac:dyDescent="0.3">
      <c r="E478" s="3">
        <v>3</v>
      </c>
      <c r="F478" s="3"/>
      <c r="G478" s="3">
        <v>2</v>
      </c>
      <c r="H478" s="3"/>
      <c r="I478" s="3">
        <v>1</v>
      </c>
      <c r="J478" s="3"/>
      <c r="K478" s="3">
        <v>0</v>
      </c>
    </row>
    <row r="479" spans="2:15" ht="15.6" x14ac:dyDescent="0.3">
      <c r="B479" s="3" t="s">
        <v>16</v>
      </c>
    </row>
    <row r="480" spans="2:15" ht="15.6" thickBot="1" x14ac:dyDescent="0.3"/>
    <row r="481" spans="2:14" x14ac:dyDescent="0.25">
      <c r="B481" s="111" t="s">
        <v>192</v>
      </c>
      <c r="C481" s="108" t="s">
        <v>575</v>
      </c>
      <c r="D481" s="22"/>
      <c r="E481" s="23"/>
      <c r="F481" s="24"/>
      <c r="G481" s="25"/>
      <c r="H481" s="25"/>
      <c r="I481" s="25"/>
      <c r="J481" s="25"/>
      <c r="K481" s="25"/>
      <c r="L481" s="26"/>
    </row>
    <row r="482" spans="2:14" ht="15.6" thickBot="1" x14ac:dyDescent="0.3">
      <c r="B482" s="112"/>
      <c r="C482" s="109"/>
      <c r="D482" s="27"/>
      <c r="E482" s="28"/>
      <c r="F482" s="29"/>
      <c r="L482" s="30"/>
    </row>
    <row r="483" spans="2:14" ht="16.2" thickBot="1" x14ac:dyDescent="0.35">
      <c r="B483" s="112"/>
      <c r="C483" s="109"/>
      <c r="D483" s="27"/>
      <c r="E483" s="31"/>
      <c r="F483" s="32" t="s">
        <v>0</v>
      </c>
      <c r="G483" s="33"/>
      <c r="H483" s="3" t="s">
        <v>2</v>
      </c>
      <c r="I483" s="33"/>
      <c r="J483" s="34" t="s">
        <v>3</v>
      </c>
      <c r="K483" s="33"/>
      <c r="L483" s="35" t="s">
        <v>4</v>
      </c>
      <c r="M483" s="2" t="str">
        <f>IF(E483="X","",IF(G483="X","",IF(I483="X","",IF(K483="X","","Elegir opción"))))</f>
        <v>Elegir opción</v>
      </c>
      <c r="N483" s="28" t="str">
        <f>IF(E483="X",3,IF(G483="X",2,IF(I483="X",1,IF(K483="X",0,"Promedio"))))</f>
        <v>Promedio</v>
      </c>
    </row>
    <row r="484" spans="2:14" x14ac:dyDescent="0.25">
      <c r="B484" s="112"/>
      <c r="C484" s="109"/>
      <c r="D484" s="36"/>
      <c r="L484" s="30"/>
    </row>
    <row r="485" spans="2:14" x14ac:dyDescent="0.25">
      <c r="B485" s="112"/>
      <c r="C485" s="109"/>
      <c r="D485" s="36"/>
      <c r="L485" s="30"/>
    </row>
    <row r="486" spans="2:14" ht="15.6" thickBot="1" x14ac:dyDescent="0.3">
      <c r="B486" s="113"/>
      <c r="C486" s="110"/>
      <c r="D486" s="37"/>
      <c r="E486" s="38"/>
      <c r="F486" s="38"/>
      <c r="G486" s="38"/>
      <c r="H486" s="38"/>
      <c r="I486" s="38"/>
      <c r="J486" s="38"/>
      <c r="K486" s="38"/>
      <c r="L486" s="39"/>
    </row>
    <row r="487" spans="2:14" ht="15.6" thickBot="1" x14ac:dyDescent="0.3"/>
    <row r="488" spans="2:14" x14ac:dyDescent="0.25">
      <c r="B488" s="111" t="s">
        <v>193</v>
      </c>
      <c r="C488" s="108" t="s">
        <v>576</v>
      </c>
      <c r="D488" s="22"/>
      <c r="E488" s="23"/>
      <c r="F488" s="24"/>
      <c r="G488" s="25"/>
      <c r="H488" s="25"/>
      <c r="I488" s="25"/>
      <c r="J488" s="25"/>
      <c r="K488" s="25"/>
      <c r="L488" s="26"/>
    </row>
    <row r="489" spans="2:14" ht="15.6" thickBot="1" x14ac:dyDescent="0.3">
      <c r="B489" s="112"/>
      <c r="C489" s="109"/>
      <c r="D489" s="27"/>
      <c r="E489" s="28"/>
      <c r="F489" s="29"/>
      <c r="L489" s="30"/>
    </row>
    <row r="490" spans="2:14" ht="16.2" thickBot="1" x14ac:dyDescent="0.35">
      <c r="B490" s="112"/>
      <c r="C490" s="109"/>
      <c r="D490" s="27"/>
      <c r="E490" s="31"/>
      <c r="F490" s="32" t="s">
        <v>0</v>
      </c>
      <c r="G490" s="33"/>
      <c r="H490" s="3" t="s">
        <v>2</v>
      </c>
      <c r="I490" s="33"/>
      <c r="J490" s="34" t="s">
        <v>3</v>
      </c>
      <c r="K490" s="33"/>
      <c r="L490" s="35" t="s">
        <v>4</v>
      </c>
      <c r="M490" s="2" t="str">
        <f>IF(E490="X","",IF(G490="X","",IF(I490="X","",IF(K490="X","","Elegir opción"))))</f>
        <v>Elegir opción</v>
      </c>
      <c r="N490" s="28" t="str">
        <f>IF(E490="X",3,IF(G490="X",2,IF(I490="X",1,IF(K490="X",0,"Promedio"))))</f>
        <v>Promedio</v>
      </c>
    </row>
    <row r="491" spans="2:14" x14ac:dyDescent="0.25">
      <c r="B491" s="112"/>
      <c r="C491" s="109"/>
      <c r="D491" s="36"/>
      <c r="L491" s="30"/>
    </row>
    <row r="492" spans="2:14" x14ac:dyDescent="0.25">
      <c r="B492" s="112"/>
      <c r="C492" s="109"/>
      <c r="D492" s="36"/>
      <c r="L492" s="30"/>
    </row>
    <row r="493" spans="2:14" ht="15.6" thickBot="1" x14ac:dyDescent="0.3">
      <c r="B493" s="113"/>
      <c r="C493" s="110"/>
      <c r="D493" s="37"/>
      <c r="E493" s="38"/>
      <c r="F493" s="38"/>
      <c r="G493" s="38"/>
      <c r="H493" s="38"/>
      <c r="I493" s="38"/>
      <c r="J493" s="38"/>
      <c r="K493" s="38"/>
      <c r="L493" s="39"/>
    </row>
    <row r="494" spans="2:14" ht="15.6" thickBot="1" x14ac:dyDescent="0.3"/>
    <row r="495" spans="2:14" x14ac:dyDescent="0.25">
      <c r="B495" s="111" t="s">
        <v>194</v>
      </c>
      <c r="C495" s="108" t="s">
        <v>577</v>
      </c>
      <c r="D495" s="22"/>
      <c r="E495" s="23"/>
      <c r="F495" s="24"/>
      <c r="G495" s="25"/>
      <c r="H495" s="25"/>
      <c r="I495" s="25"/>
      <c r="J495" s="25"/>
      <c r="K495" s="25"/>
      <c r="L495" s="26"/>
    </row>
    <row r="496" spans="2:14" ht="15.6" thickBot="1" x14ac:dyDescent="0.3">
      <c r="B496" s="112"/>
      <c r="C496" s="109"/>
      <c r="D496" s="27"/>
      <c r="E496" s="28"/>
      <c r="F496" s="29"/>
      <c r="L496" s="30"/>
    </row>
    <row r="497" spans="2:14" ht="16.2" thickBot="1" x14ac:dyDescent="0.35">
      <c r="B497" s="112"/>
      <c r="C497" s="109"/>
      <c r="D497" s="27"/>
      <c r="E497" s="31"/>
      <c r="F497" s="32" t="s">
        <v>0</v>
      </c>
      <c r="G497" s="33"/>
      <c r="H497" s="3" t="s">
        <v>2</v>
      </c>
      <c r="I497" s="33"/>
      <c r="J497" s="34" t="s">
        <v>3</v>
      </c>
      <c r="K497" s="33"/>
      <c r="L497" s="35" t="s">
        <v>4</v>
      </c>
      <c r="M497" s="2" t="str">
        <f>IF(E497="X","",IF(G497="X","",IF(I497="X","",IF(K497="X","","Elegir opción"))))</f>
        <v>Elegir opción</v>
      </c>
      <c r="N497" s="28" t="str">
        <f>IF(E497="X",3,IF(G497="X",2,IF(I497="X",1,IF(K497="X",0,"Promedio"))))</f>
        <v>Promedio</v>
      </c>
    </row>
    <row r="498" spans="2:14" x14ac:dyDescent="0.25">
      <c r="B498" s="112"/>
      <c r="C498" s="109"/>
      <c r="D498" s="36"/>
      <c r="L498" s="30"/>
    </row>
    <row r="499" spans="2:14" x14ac:dyDescent="0.25">
      <c r="B499" s="112"/>
      <c r="C499" s="109"/>
      <c r="D499" s="36"/>
      <c r="L499" s="30"/>
    </row>
    <row r="500" spans="2:14" ht="15.6" thickBot="1" x14ac:dyDescent="0.3">
      <c r="B500" s="113"/>
      <c r="C500" s="110"/>
      <c r="D500" s="37"/>
      <c r="E500" s="38"/>
      <c r="F500" s="38"/>
      <c r="G500" s="38"/>
      <c r="H500" s="38"/>
      <c r="I500" s="38"/>
      <c r="J500" s="38"/>
      <c r="K500" s="38"/>
      <c r="L500" s="39"/>
    </row>
    <row r="501" spans="2:14" ht="15.6" thickBot="1" x14ac:dyDescent="0.3"/>
    <row r="502" spans="2:14" x14ac:dyDescent="0.25">
      <c r="B502" s="111" t="s">
        <v>195</v>
      </c>
      <c r="C502" s="108" t="s">
        <v>578</v>
      </c>
      <c r="D502" s="22"/>
      <c r="E502" s="23"/>
      <c r="F502" s="24"/>
      <c r="G502" s="25"/>
      <c r="H502" s="25"/>
      <c r="I502" s="25"/>
      <c r="J502" s="25"/>
      <c r="K502" s="25"/>
      <c r="L502" s="26"/>
    </row>
    <row r="503" spans="2:14" ht="15.6" thickBot="1" x14ac:dyDescent="0.3">
      <c r="B503" s="112"/>
      <c r="C503" s="109"/>
      <c r="D503" s="27"/>
      <c r="E503" s="28"/>
      <c r="F503" s="29"/>
      <c r="L503" s="30"/>
    </row>
    <row r="504" spans="2:14" ht="16.2" thickBot="1" x14ac:dyDescent="0.35">
      <c r="B504" s="112"/>
      <c r="C504" s="109"/>
      <c r="D504" s="27"/>
      <c r="E504" s="31"/>
      <c r="F504" s="32" t="s">
        <v>0</v>
      </c>
      <c r="G504" s="33"/>
      <c r="H504" s="3" t="s">
        <v>2</v>
      </c>
      <c r="I504" s="33"/>
      <c r="J504" s="34" t="s">
        <v>3</v>
      </c>
      <c r="K504" s="33"/>
      <c r="L504" s="35" t="s">
        <v>4</v>
      </c>
      <c r="M504" s="2" t="str">
        <f>IF(E504="X","",IF(G504="X","",IF(I504="X","",IF(K504="X","","Elegir opción"))))</f>
        <v>Elegir opción</v>
      </c>
      <c r="N504" s="28" t="str">
        <f>IF(E504="X",3,IF(G504="X",2,IF(I504="X",1,IF(K504="X",0,"Promedio"))))</f>
        <v>Promedio</v>
      </c>
    </row>
    <row r="505" spans="2:14" x14ac:dyDescent="0.25">
      <c r="B505" s="112"/>
      <c r="C505" s="109"/>
      <c r="D505" s="36"/>
      <c r="L505" s="30"/>
    </row>
    <row r="506" spans="2:14" x14ac:dyDescent="0.25">
      <c r="B506" s="112"/>
      <c r="C506" s="109"/>
      <c r="D506" s="36"/>
      <c r="L506" s="30"/>
    </row>
    <row r="507" spans="2:14" ht="15.6" thickBot="1" x14ac:dyDescent="0.3">
      <c r="B507" s="113"/>
      <c r="C507" s="110"/>
      <c r="D507" s="37"/>
      <c r="E507" s="38"/>
      <c r="F507" s="38"/>
      <c r="G507" s="38"/>
      <c r="H507" s="38"/>
      <c r="I507" s="38"/>
      <c r="J507" s="38"/>
      <c r="K507" s="38"/>
      <c r="L507" s="39"/>
    </row>
    <row r="508" spans="2:14" ht="15.6" thickBot="1" x14ac:dyDescent="0.3"/>
    <row r="509" spans="2:14" x14ac:dyDescent="0.25">
      <c r="B509" s="111" t="s">
        <v>198</v>
      </c>
      <c r="C509" s="108" t="s">
        <v>196</v>
      </c>
      <c r="D509" s="22"/>
      <c r="E509" s="23"/>
      <c r="F509" s="24"/>
      <c r="G509" s="25"/>
      <c r="H509" s="25"/>
      <c r="I509" s="25"/>
      <c r="J509" s="25"/>
      <c r="K509" s="25"/>
      <c r="L509" s="26"/>
    </row>
    <row r="510" spans="2:14" ht="15.6" thickBot="1" x14ac:dyDescent="0.3">
      <c r="B510" s="112"/>
      <c r="C510" s="109"/>
      <c r="D510" s="27"/>
      <c r="E510" s="28"/>
      <c r="F510" s="29"/>
      <c r="L510" s="30"/>
    </row>
    <row r="511" spans="2:14" ht="16.2" thickBot="1" x14ac:dyDescent="0.35">
      <c r="B511" s="112"/>
      <c r="C511" s="109"/>
      <c r="D511" s="27"/>
      <c r="E511" s="31"/>
      <c r="F511" s="32" t="s">
        <v>0</v>
      </c>
      <c r="G511" s="33"/>
      <c r="H511" s="3" t="s">
        <v>2</v>
      </c>
      <c r="I511" s="33"/>
      <c r="J511" s="34" t="s">
        <v>3</v>
      </c>
      <c r="K511" s="33"/>
      <c r="L511" s="35" t="s">
        <v>4</v>
      </c>
      <c r="M511" s="2" t="str">
        <f>IF(E511="X","",IF(G511="X","",IF(I511="X","",IF(K511="X","","Elegir opción"))))</f>
        <v>Elegir opción</v>
      </c>
      <c r="N511" s="28" t="str">
        <f>IF(E511="X",3,IF(G511="X",2,IF(I511="X",1,IF(K511="X",0,"Promedio"))))</f>
        <v>Promedio</v>
      </c>
    </row>
    <row r="512" spans="2:14" x14ac:dyDescent="0.25">
      <c r="B512" s="112"/>
      <c r="C512" s="109"/>
      <c r="D512" s="36"/>
      <c r="L512" s="30"/>
    </row>
    <row r="513" spans="2:14" x14ac:dyDescent="0.25">
      <c r="B513" s="112"/>
      <c r="C513" s="109"/>
      <c r="D513" s="36"/>
      <c r="L513" s="30"/>
    </row>
    <row r="514" spans="2:14" ht="15.6" thickBot="1" x14ac:dyDescent="0.3">
      <c r="B514" s="113"/>
      <c r="C514" s="110"/>
      <c r="D514" s="37"/>
      <c r="E514" s="38"/>
      <c r="F514" s="38"/>
      <c r="G514" s="38"/>
      <c r="H514" s="38"/>
      <c r="I514" s="38"/>
      <c r="J514" s="38"/>
      <c r="K514" s="38"/>
      <c r="L514" s="39"/>
    </row>
    <row r="515" spans="2:14" ht="15.6" thickBot="1" x14ac:dyDescent="0.3"/>
    <row r="516" spans="2:14" x14ac:dyDescent="0.25">
      <c r="B516" s="111" t="s">
        <v>199</v>
      </c>
      <c r="C516" s="108" t="s">
        <v>197</v>
      </c>
      <c r="D516" s="22"/>
      <c r="E516" s="23"/>
      <c r="F516" s="24"/>
      <c r="G516" s="25"/>
      <c r="H516" s="25"/>
      <c r="I516" s="25"/>
      <c r="J516" s="25"/>
      <c r="K516" s="25"/>
      <c r="L516" s="26"/>
    </row>
    <row r="517" spans="2:14" ht="15.6" thickBot="1" x14ac:dyDescent="0.3">
      <c r="B517" s="112"/>
      <c r="C517" s="109"/>
      <c r="D517" s="27"/>
      <c r="E517" s="28"/>
      <c r="F517" s="29"/>
      <c r="L517" s="30"/>
    </row>
    <row r="518" spans="2:14" ht="16.2" thickBot="1" x14ac:dyDescent="0.35">
      <c r="B518" s="112"/>
      <c r="C518" s="109"/>
      <c r="D518" s="27"/>
      <c r="E518" s="31"/>
      <c r="F518" s="32" t="s">
        <v>0</v>
      </c>
      <c r="G518" s="33"/>
      <c r="H518" s="3" t="s">
        <v>2</v>
      </c>
      <c r="I518" s="33"/>
      <c r="J518" s="34" t="s">
        <v>3</v>
      </c>
      <c r="K518" s="33"/>
      <c r="L518" s="35" t="s">
        <v>4</v>
      </c>
      <c r="M518" s="2" t="str">
        <f>IF(E518="X","",IF(G518="X","",IF(I518="X","",IF(K518="X","","Elegir opción"))))</f>
        <v>Elegir opción</v>
      </c>
      <c r="N518" s="28" t="str">
        <f>IF(E518="X",3,IF(G518="X",2,IF(I518="X",1,IF(K518="X",0,"Promedio"))))</f>
        <v>Promedio</v>
      </c>
    </row>
    <row r="519" spans="2:14" x14ac:dyDescent="0.25">
      <c r="B519" s="112"/>
      <c r="C519" s="109"/>
      <c r="D519" s="36"/>
      <c r="L519" s="30"/>
    </row>
    <row r="520" spans="2:14" x14ac:dyDescent="0.25">
      <c r="B520" s="112"/>
      <c r="C520" s="109"/>
      <c r="D520" s="36"/>
      <c r="L520" s="30"/>
    </row>
    <row r="521" spans="2:14" ht="15.6" thickBot="1" x14ac:dyDescent="0.3">
      <c r="B521" s="113"/>
      <c r="C521" s="110"/>
      <c r="D521" s="37"/>
      <c r="E521" s="38"/>
      <c r="F521" s="38"/>
      <c r="G521" s="38"/>
      <c r="H521" s="38"/>
      <c r="I521" s="38"/>
      <c r="J521" s="38"/>
      <c r="K521" s="38"/>
      <c r="L521" s="39"/>
    </row>
    <row r="522" spans="2:14" ht="15.6" thickBot="1" x14ac:dyDescent="0.3"/>
    <row r="523" spans="2:14" x14ac:dyDescent="0.25">
      <c r="B523" s="111" t="s">
        <v>200</v>
      </c>
      <c r="C523" s="108" t="s">
        <v>476</v>
      </c>
      <c r="D523" s="22"/>
      <c r="E523" s="23"/>
      <c r="F523" s="24"/>
      <c r="G523" s="25"/>
      <c r="H523" s="25"/>
      <c r="I523" s="25"/>
      <c r="J523" s="25"/>
      <c r="K523" s="25"/>
      <c r="L523" s="26"/>
    </row>
    <row r="524" spans="2:14" ht="15.6" thickBot="1" x14ac:dyDescent="0.3">
      <c r="B524" s="112"/>
      <c r="C524" s="109"/>
      <c r="D524" s="27"/>
      <c r="E524" s="28"/>
      <c r="F524" s="29"/>
      <c r="L524" s="30"/>
    </row>
    <row r="525" spans="2:14" ht="16.2" thickBot="1" x14ac:dyDescent="0.35">
      <c r="B525" s="112"/>
      <c r="C525" s="109"/>
      <c r="D525" s="27"/>
      <c r="E525" s="31"/>
      <c r="F525" s="32" t="s">
        <v>0</v>
      </c>
      <c r="G525" s="33"/>
      <c r="H525" s="3" t="s">
        <v>2</v>
      </c>
      <c r="I525" s="33"/>
      <c r="J525" s="34" t="s">
        <v>3</v>
      </c>
      <c r="K525" s="33"/>
      <c r="L525" s="35" t="s">
        <v>4</v>
      </c>
      <c r="M525" s="2" t="str">
        <f>IF(E525="X","",IF(G525="X","",IF(I525="X","",IF(K525="X","","Elegir opción"))))</f>
        <v>Elegir opción</v>
      </c>
      <c r="N525" s="28" t="str">
        <f>IF(E525="X",3,IF(G525="X",2,IF(I525="X",1,IF(K525="X",0,"Promedio"))))</f>
        <v>Promedio</v>
      </c>
    </row>
    <row r="526" spans="2:14" x14ac:dyDescent="0.25">
      <c r="B526" s="112"/>
      <c r="C526" s="109"/>
      <c r="D526" s="36"/>
      <c r="L526" s="30"/>
    </row>
    <row r="527" spans="2:14" x14ac:dyDescent="0.25">
      <c r="B527" s="112"/>
      <c r="C527" s="109"/>
      <c r="D527" s="36"/>
      <c r="L527" s="30"/>
    </row>
    <row r="528" spans="2:14" ht="15.6" thickBot="1" x14ac:dyDescent="0.3">
      <c r="B528" s="113"/>
      <c r="C528" s="110"/>
      <c r="D528" s="37"/>
      <c r="E528" s="38"/>
      <c r="F528" s="38"/>
      <c r="G528" s="38"/>
      <c r="H528" s="38"/>
      <c r="I528" s="38"/>
      <c r="J528" s="38"/>
      <c r="K528" s="38"/>
      <c r="L528" s="39"/>
    </row>
    <row r="529" spans="2:14" ht="15.6" thickBot="1" x14ac:dyDescent="0.3"/>
    <row r="530" spans="2:14" x14ac:dyDescent="0.25">
      <c r="B530" s="111" t="s">
        <v>201</v>
      </c>
      <c r="C530" s="108" t="s">
        <v>473</v>
      </c>
      <c r="D530" s="22"/>
      <c r="E530" s="23"/>
      <c r="F530" s="24"/>
      <c r="G530" s="25"/>
      <c r="H530" s="25"/>
      <c r="I530" s="25"/>
      <c r="J530" s="25"/>
      <c r="K530" s="25"/>
      <c r="L530" s="26"/>
    </row>
    <row r="531" spans="2:14" ht="15.6" thickBot="1" x14ac:dyDescent="0.3">
      <c r="B531" s="112"/>
      <c r="C531" s="109"/>
      <c r="D531" s="27"/>
      <c r="E531" s="28"/>
      <c r="F531" s="29"/>
      <c r="L531" s="30"/>
    </row>
    <row r="532" spans="2:14" ht="16.2" thickBot="1" x14ac:dyDescent="0.35">
      <c r="B532" s="112"/>
      <c r="C532" s="109"/>
      <c r="D532" s="27"/>
      <c r="E532" s="31"/>
      <c r="F532" s="32" t="s">
        <v>0</v>
      </c>
      <c r="G532" s="33"/>
      <c r="H532" s="3" t="s">
        <v>2</v>
      </c>
      <c r="I532" s="33"/>
      <c r="J532" s="34" t="s">
        <v>3</v>
      </c>
      <c r="K532" s="33"/>
      <c r="L532" s="35" t="s">
        <v>4</v>
      </c>
      <c r="M532" s="2" t="str">
        <f>IF(E532="X","",IF(G532="X","",IF(I532="X","",IF(K532="X","","Elegir opción"))))</f>
        <v>Elegir opción</v>
      </c>
      <c r="N532" s="28" t="str">
        <f>IF(E532="X",3,IF(G532="X",2,IF(I532="X",1,IF(K532="X",0,"Promedio"))))</f>
        <v>Promedio</v>
      </c>
    </row>
    <row r="533" spans="2:14" x14ac:dyDescent="0.25">
      <c r="B533" s="112"/>
      <c r="C533" s="109"/>
      <c r="D533" s="36"/>
      <c r="L533" s="30"/>
    </row>
    <row r="534" spans="2:14" x14ac:dyDescent="0.25">
      <c r="B534" s="112"/>
      <c r="C534" s="109"/>
      <c r="D534" s="36"/>
      <c r="L534" s="30"/>
    </row>
    <row r="535" spans="2:14" ht="15.6" thickBot="1" x14ac:dyDescent="0.3">
      <c r="B535" s="113"/>
      <c r="C535" s="110"/>
      <c r="D535" s="37"/>
      <c r="E535" s="38"/>
      <c r="F535" s="38"/>
      <c r="G535" s="38"/>
      <c r="H535" s="38"/>
      <c r="I535" s="38"/>
      <c r="J535" s="38"/>
      <c r="K535" s="38"/>
      <c r="L535" s="39"/>
    </row>
    <row r="536" spans="2:14" ht="15.6" thickBot="1" x14ac:dyDescent="0.3"/>
    <row r="537" spans="2:14" x14ac:dyDescent="0.25">
      <c r="B537" s="111" t="s">
        <v>202</v>
      </c>
      <c r="C537" s="108" t="s">
        <v>475</v>
      </c>
      <c r="D537" s="22"/>
      <c r="E537" s="23"/>
      <c r="F537" s="24"/>
      <c r="G537" s="25"/>
      <c r="H537" s="25"/>
      <c r="I537" s="25"/>
      <c r="J537" s="25"/>
      <c r="K537" s="25"/>
      <c r="L537" s="26"/>
    </row>
    <row r="538" spans="2:14" ht="15.6" thickBot="1" x14ac:dyDescent="0.3">
      <c r="B538" s="112"/>
      <c r="C538" s="109"/>
      <c r="D538" s="27"/>
      <c r="E538" s="28"/>
      <c r="F538" s="29"/>
      <c r="L538" s="30"/>
    </row>
    <row r="539" spans="2:14" ht="16.2" thickBot="1" x14ac:dyDescent="0.35">
      <c r="B539" s="112"/>
      <c r="C539" s="109"/>
      <c r="D539" s="27"/>
      <c r="E539" s="31"/>
      <c r="F539" s="32" t="s">
        <v>0</v>
      </c>
      <c r="G539" s="33"/>
      <c r="H539" s="3" t="s">
        <v>2</v>
      </c>
      <c r="I539" s="33"/>
      <c r="J539" s="34" t="s">
        <v>3</v>
      </c>
      <c r="K539" s="33"/>
      <c r="L539" s="35" t="s">
        <v>4</v>
      </c>
      <c r="M539" s="2" t="str">
        <f>IF(E539="X","",IF(G539="X","",IF(I539="X","",IF(K539="X","","Elegir opción"))))</f>
        <v>Elegir opción</v>
      </c>
      <c r="N539" s="28" t="str">
        <f>IF(E539="X",3,IF(G539="X",2,IF(I539="X",1,IF(K539="X",0,"Promedio"))))</f>
        <v>Promedio</v>
      </c>
    </row>
    <row r="540" spans="2:14" x14ac:dyDescent="0.25">
      <c r="B540" s="112"/>
      <c r="C540" s="109"/>
      <c r="D540" s="36"/>
      <c r="L540" s="30"/>
    </row>
    <row r="541" spans="2:14" x14ac:dyDescent="0.25">
      <c r="B541" s="112"/>
      <c r="C541" s="109"/>
      <c r="D541" s="36"/>
      <c r="L541" s="30"/>
    </row>
    <row r="542" spans="2:14" ht="15.6" thickBot="1" x14ac:dyDescent="0.3">
      <c r="B542" s="113"/>
      <c r="C542" s="110"/>
      <c r="D542" s="37"/>
      <c r="E542" s="38"/>
      <c r="F542" s="38"/>
      <c r="G542" s="38"/>
      <c r="H542" s="38"/>
      <c r="I542" s="38"/>
      <c r="J542" s="38"/>
      <c r="K542" s="38"/>
      <c r="L542" s="39"/>
    </row>
    <row r="543" spans="2:14" ht="15.6" thickBot="1" x14ac:dyDescent="0.3"/>
    <row r="544" spans="2:14" x14ac:dyDescent="0.25">
      <c r="B544" s="111" t="s">
        <v>203</v>
      </c>
      <c r="C544" s="108" t="s">
        <v>474</v>
      </c>
      <c r="D544" s="22"/>
      <c r="E544" s="23"/>
      <c r="F544" s="24"/>
      <c r="G544" s="25"/>
      <c r="H544" s="25"/>
      <c r="I544" s="25"/>
      <c r="J544" s="25"/>
      <c r="K544" s="25"/>
      <c r="L544" s="26"/>
    </row>
    <row r="545" spans="2:14" ht="15.6" thickBot="1" x14ac:dyDescent="0.3">
      <c r="B545" s="112"/>
      <c r="C545" s="109"/>
      <c r="D545" s="27"/>
      <c r="E545" s="28"/>
      <c r="F545" s="29"/>
      <c r="L545" s="30"/>
    </row>
    <row r="546" spans="2:14" ht="16.2" thickBot="1" x14ac:dyDescent="0.35">
      <c r="B546" s="112"/>
      <c r="C546" s="109"/>
      <c r="D546" s="27"/>
      <c r="E546" s="31"/>
      <c r="F546" s="32" t="s">
        <v>0</v>
      </c>
      <c r="G546" s="33"/>
      <c r="H546" s="3" t="s">
        <v>2</v>
      </c>
      <c r="I546" s="33"/>
      <c r="J546" s="34" t="s">
        <v>3</v>
      </c>
      <c r="K546" s="33"/>
      <c r="L546" s="35" t="s">
        <v>4</v>
      </c>
      <c r="M546" s="2" t="str">
        <f>IF(E546="X","",IF(G546="X","",IF(I546="X","",IF(K546="X","","Elegir opción"))))</f>
        <v>Elegir opción</v>
      </c>
      <c r="N546" s="28" t="str">
        <f>IF(E546="X",3,IF(G546="X",2,IF(I546="X",1,IF(K546="X",0,"Promedio"))))</f>
        <v>Promedio</v>
      </c>
    </row>
    <row r="547" spans="2:14" x14ac:dyDescent="0.25">
      <c r="B547" s="112"/>
      <c r="C547" s="109"/>
      <c r="D547" s="36"/>
      <c r="L547" s="30"/>
    </row>
    <row r="548" spans="2:14" x14ac:dyDescent="0.25">
      <c r="B548" s="112"/>
      <c r="C548" s="109"/>
      <c r="D548" s="36"/>
      <c r="L548" s="30"/>
    </row>
    <row r="549" spans="2:14" ht="15.6" thickBot="1" x14ac:dyDescent="0.3">
      <c r="B549" s="113"/>
      <c r="C549" s="110"/>
      <c r="D549" s="37"/>
      <c r="E549" s="38"/>
      <c r="F549" s="38"/>
      <c r="G549" s="38"/>
      <c r="H549" s="38"/>
      <c r="I549" s="38"/>
      <c r="J549" s="38"/>
      <c r="K549" s="38"/>
      <c r="L549" s="39"/>
    </row>
    <row r="550" spans="2:14" ht="15.6" thickBot="1" x14ac:dyDescent="0.3"/>
    <row r="551" spans="2:14" x14ac:dyDescent="0.25">
      <c r="B551" s="111" t="s">
        <v>204</v>
      </c>
      <c r="C551" s="108" t="s">
        <v>477</v>
      </c>
      <c r="D551" s="22"/>
      <c r="E551" s="23"/>
      <c r="F551" s="24"/>
      <c r="G551" s="25"/>
      <c r="H551" s="25"/>
      <c r="I551" s="25"/>
      <c r="J551" s="25"/>
      <c r="K551" s="25"/>
      <c r="L551" s="26"/>
    </row>
    <row r="552" spans="2:14" ht="15.6" thickBot="1" x14ac:dyDescent="0.3">
      <c r="B552" s="112"/>
      <c r="C552" s="109"/>
      <c r="D552" s="27"/>
      <c r="E552" s="28"/>
      <c r="F552" s="29"/>
      <c r="L552" s="30"/>
    </row>
    <row r="553" spans="2:14" ht="16.2" thickBot="1" x14ac:dyDescent="0.35">
      <c r="B553" s="112"/>
      <c r="C553" s="109"/>
      <c r="D553" s="27"/>
      <c r="E553" s="31"/>
      <c r="F553" s="32" t="s">
        <v>0</v>
      </c>
      <c r="G553" s="33"/>
      <c r="H553" s="3" t="s">
        <v>2</v>
      </c>
      <c r="I553" s="33"/>
      <c r="J553" s="34" t="s">
        <v>3</v>
      </c>
      <c r="K553" s="33"/>
      <c r="L553" s="35" t="s">
        <v>4</v>
      </c>
      <c r="M553" s="2" t="str">
        <f>IF(E553="X","",IF(G553="X","",IF(I553="X","",IF(K553="X","","Elegir opción"))))</f>
        <v>Elegir opción</v>
      </c>
      <c r="N553" s="28" t="str">
        <f>IF(E553="X",3,IF(G553="X",2,IF(I553="X",1,IF(K553="X",0,"Promedio"))))</f>
        <v>Promedio</v>
      </c>
    </row>
    <row r="554" spans="2:14" x14ac:dyDescent="0.25">
      <c r="B554" s="112"/>
      <c r="C554" s="109"/>
      <c r="D554" s="36"/>
      <c r="L554" s="30"/>
    </row>
    <row r="555" spans="2:14" x14ac:dyDescent="0.25">
      <c r="B555" s="112"/>
      <c r="C555" s="109"/>
      <c r="D555" s="36"/>
      <c r="L555" s="30"/>
    </row>
    <row r="556" spans="2:14" ht="15.6" thickBot="1" x14ac:dyDescent="0.3">
      <c r="B556" s="113"/>
      <c r="C556" s="110"/>
      <c r="D556" s="37"/>
      <c r="E556" s="38"/>
      <c r="F556" s="38"/>
      <c r="G556" s="38"/>
      <c r="H556" s="38"/>
      <c r="I556" s="38"/>
      <c r="J556" s="38"/>
      <c r="K556" s="38"/>
      <c r="L556" s="39"/>
    </row>
    <row r="557" spans="2:14" ht="15.6" thickBot="1" x14ac:dyDescent="0.3"/>
    <row r="558" spans="2:14" x14ac:dyDescent="0.25">
      <c r="B558" s="111" t="s">
        <v>205</v>
      </c>
      <c r="C558" s="108" t="s">
        <v>478</v>
      </c>
      <c r="D558" s="22"/>
      <c r="E558" s="23"/>
      <c r="F558" s="24"/>
      <c r="G558" s="25"/>
      <c r="H558" s="25"/>
      <c r="I558" s="25"/>
      <c r="J558" s="25"/>
      <c r="K558" s="25"/>
      <c r="L558" s="26"/>
    </row>
    <row r="559" spans="2:14" ht="15.6" thickBot="1" x14ac:dyDescent="0.3">
      <c r="B559" s="112"/>
      <c r="C559" s="109"/>
      <c r="D559" s="27"/>
      <c r="E559" s="28"/>
      <c r="F559" s="29"/>
      <c r="L559" s="30"/>
    </row>
    <row r="560" spans="2:14" ht="16.2" thickBot="1" x14ac:dyDescent="0.35">
      <c r="B560" s="112"/>
      <c r="C560" s="109"/>
      <c r="D560" s="27"/>
      <c r="E560" s="31"/>
      <c r="F560" s="32" t="s">
        <v>0</v>
      </c>
      <c r="G560" s="33"/>
      <c r="H560" s="3" t="s">
        <v>2</v>
      </c>
      <c r="I560" s="33"/>
      <c r="J560" s="34" t="s">
        <v>3</v>
      </c>
      <c r="K560" s="33"/>
      <c r="L560" s="35" t="s">
        <v>4</v>
      </c>
      <c r="M560" s="2" t="str">
        <f>IF(E560="X","",IF(G560="X","",IF(I560="X","",IF(K560="X","","Elegir opción"))))</f>
        <v>Elegir opción</v>
      </c>
      <c r="N560" s="28" t="str">
        <f>IF(E560="X",3,IF(G560="X",2,IF(I560="X",1,IF(K560="X",0,"Promedio"))))</f>
        <v>Promedio</v>
      </c>
    </row>
    <row r="561" spans="2:12" x14ac:dyDescent="0.25">
      <c r="B561" s="112"/>
      <c r="C561" s="109"/>
      <c r="D561" s="36"/>
      <c r="L561" s="30"/>
    </row>
    <row r="562" spans="2:12" x14ac:dyDescent="0.25">
      <c r="B562" s="112"/>
      <c r="C562" s="109"/>
      <c r="D562" s="36"/>
      <c r="L562" s="30"/>
    </row>
    <row r="563" spans="2:12" ht="15.6" thickBot="1" x14ac:dyDescent="0.3">
      <c r="B563" s="113"/>
      <c r="C563" s="110"/>
      <c r="D563" s="37"/>
      <c r="E563" s="38"/>
      <c r="F563" s="38"/>
      <c r="G563" s="38"/>
      <c r="H563" s="38"/>
      <c r="I563" s="38"/>
      <c r="J563" s="38"/>
      <c r="K563" s="38"/>
      <c r="L563" s="39"/>
    </row>
  </sheetData>
  <sheetProtection selectLockedCells="1"/>
  <mergeCells count="154">
    <mergeCell ref="C208:C213"/>
    <mergeCell ref="C215:C220"/>
    <mergeCell ref="C222:C227"/>
    <mergeCell ref="C180:C185"/>
    <mergeCell ref="C187:C192"/>
    <mergeCell ref="C194:C199"/>
    <mergeCell ref="C201:C206"/>
    <mergeCell ref="B233:B238"/>
    <mergeCell ref="C145:C150"/>
    <mergeCell ref="C152:C157"/>
    <mergeCell ref="C159:C164"/>
    <mergeCell ref="C166:C171"/>
    <mergeCell ref="C173:C178"/>
    <mergeCell ref="B180:B185"/>
    <mergeCell ref="B187:B192"/>
    <mergeCell ref="B194:B199"/>
    <mergeCell ref="B201:B206"/>
    <mergeCell ref="B208:B213"/>
    <mergeCell ref="B145:B150"/>
    <mergeCell ref="B152:B157"/>
    <mergeCell ref="B159:B164"/>
    <mergeCell ref="B166:B171"/>
    <mergeCell ref="B173:B178"/>
    <mergeCell ref="B10:B15"/>
    <mergeCell ref="C10:C15"/>
    <mergeCell ref="C17:C22"/>
    <mergeCell ref="B17:B22"/>
    <mergeCell ref="B48:B53"/>
    <mergeCell ref="C48:C53"/>
    <mergeCell ref="C24:C29"/>
    <mergeCell ref="C31:C36"/>
    <mergeCell ref="C38:C43"/>
    <mergeCell ref="B24:B29"/>
    <mergeCell ref="B31:B36"/>
    <mergeCell ref="B38:B43"/>
    <mergeCell ref="C97:C102"/>
    <mergeCell ref="B62:B67"/>
    <mergeCell ref="B69:B74"/>
    <mergeCell ref="B76:B81"/>
    <mergeCell ref="B83:B88"/>
    <mergeCell ref="B90:B95"/>
    <mergeCell ref="B97:B102"/>
    <mergeCell ref="B55:B60"/>
    <mergeCell ref="C55:C60"/>
    <mergeCell ref="C62:C67"/>
    <mergeCell ref="C69:C74"/>
    <mergeCell ref="C76:C81"/>
    <mergeCell ref="C83:C88"/>
    <mergeCell ref="C90:C95"/>
    <mergeCell ref="C114:C119"/>
    <mergeCell ref="C121:C126"/>
    <mergeCell ref="C128:C133"/>
    <mergeCell ref="C135:C140"/>
    <mergeCell ref="B107:B112"/>
    <mergeCell ref="B114:B119"/>
    <mergeCell ref="B121:B126"/>
    <mergeCell ref="B128:B133"/>
    <mergeCell ref="B135:B140"/>
    <mergeCell ref="C107:C112"/>
    <mergeCell ref="C275:C280"/>
    <mergeCell ref="B247:B252"/>
    <mergeCell ref="B254:B259"/>
    <mergeCell ref="B261:B266"/>
    <mergeCell ref="B268:B273"/>
    <mergeCell ref="B275:B280"/>
    <mergeCell ref="B215:B220"/>
    <mergeCell ref="B222:B227"/>
    <mergeCell ref="B240:B245"/>
    <mergeCell ref="C240:C245"/>
    <mergeCell ref="C247:C252"/>
    <mergeCell ref="C254:C259"/>
    <mergeCell ref="C261:C266"/>
    <mergeCell ref="C268:C273"/>
    <mergeCell ref="C233:C238"/>
    <mergeCell ref="C317:C322"/>
    <mergeCell ref="C324:C329"/>
    <mergeCell ref="C331:C336"/>
    <mergeCell ref="C338:C343"/>
    <mergeCell ref="C345:C350"/>
    <mergeCell ref="C282:C287"/>
    <mergeCell ref="C289:C294"/>
    <mergeCell ref="C296:C301"/>
    <mergeCell ref="C303:C308"/>
    <mergeCell ref="C310:C315"/>
    <mergeCell ref="C450:C455"/>
    <mergeCell ref="C387:C392"/>
    <mergeCell ref="C394:C399"/>
    <mergeCell ref="C401:C406"/>
    <mergeCell ref="C408:C413"/>
    <mergeCell ref="C415:C420"/>
    <mergeCell ref="C352:C357"/>
    <mergeCell ref="C359:C364"/>
    <mergeCell ref="C366:C371"/>
    <mergeCell ref="C373:C378"/>
    <mergeCell ref="C380:C385"/>
    <mergeCell ref="B366:B371"/>
    <mergeCell ref="B373:B378"/>
    <mergeCell ref="B380:B385"/>
    <mergeCell ref="B387:B392"/>
    <mergeCell ref="B394:B399"/>
    <mergeCell ref="C457:C462"/>
    <mergeCell ref="C464:C469"/>
    <mergeCell ref="C471:C476"/>
    <mergeCell ref="B282:B287"/>
    <mergeCell ref="B289:B294"/>
    <mergeCell ref="B296:B301"/>
    <mergeCell ref="B303:B308"/>
    <mergeCell ref="B310:B315"/>
    <mergeCell ref="B317:B322"/>
    <mergeCell ref="B324:B329"/>
    <mergeCell ref="B331:B336"/>
    <mergeCell ref="B338:B343"/>
    <mergeCell ref="B345:B350"/>
    <mergeCell ref="B352:B357"/>
    <mergeCell ref="B359:B364"/>
    <mergeCell ref="C422:C427"/>
    <mergeCell ref="C429:C434"/>
    <mergeCell ref="C436:C441"/>
    <mergeCell ref="C443:C448"/>
    <mergeCell ref="B471:B476"/>
    <mergeCell ref="B436:B441"/>
    <mergeCell ref="B443:B448"/>
    <mergeCell ref="B450:B455"/>
    <mergeCell ref="B457:B462"/>
    <mergeCell ref="B464:B469"/>
    <mergeCell ref="B401:B406"/>
    <mergeCell ref="B408:B413"/>
    <mergeCell ref="B415:B420"/>
    <mergeCell ref="B422:B427"/>
    <mergeCell ref="B429:B434"/>
    <mergeCell ref="B537:B542"/>
    <mergeCell ref="B544:B549"/>
    <mergeCell ref="B551:B556"/>
    <mergeCell ref="B558:B563"/>
    <mergeCell ref="B481:B486"/>
    <mergeCell ref="C481:C486"/>
    <mergeCell ref="B488:B493"/>
    <mergeCell ref="C488:C493"/>
    <mergeCell ref="C495:C500"/>
    <mergeCell ref="B495:B500"/>
    <mergeCell ref="C502:C507"/>
    <mergeCell ref="B502:B507"/>
    <mergeCell ref="C509:C514"/>
    <mergeCell ref="C516:C521"/>
    <mergeCell ref="C523:C528"/>
    <mergeCell ref="C530:C535"/>
    <mergeCell ref="C537:C542"/>
    <mergeCell ref="C544:C549"/>
    <mergeCell ref="C551:C556"/>
    <mergeCell ref="C558:C563"/>
    <mergeCell ref="B509:B514"/>
    <mergeCell ref="B516:B521"/>
    <mergeCell ref="B523:B528"/>
    <mergeCell ref="B530:B53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L93"/>
  <sheetViews>
    <sheetView showGridLines="0" topLeftCell="A85" workbookViewId="0">
      <selection activeCell="B12" sqref="B12"/>
    </sheetView>
  </sheetViews>
  <sheetFormatPr baseColWidth="10" defaultColWidth="11.44140625" defaultRowHeight="15" x14ac:dyDescent="0.25"/>
  <cols>
    <col min="1" max="2" width="11.44140625" style="2"/>
    <col min="3" max="3" width="24.6640625" style="2" customWidth="1"/>
    <col min="4" max="4" width="11.44140625" style="2"/>
    <col min="5" max="5" width="26.109375" style="2" customWidth="1"/>
    <col min="6" max="6" width="11.44140625" style="2"/>
    <col min="7" max="7" width="24.44140625" style="2" bestFit="1" customWidth="1"/>
    <col min="8" max="16384" width="11.44140625" style="2"/>
  </cols>
  <sheetData>
    <row r="2" spans="2:12" ht="15.75" customHeight="1" x14ac:dyDescent="0.3">
      <c r="B2" s="114" t="s">
        <v>497</v>
      </c>
      <c r="C2" s="114"/>
      <c r="D2" s="114"/>
      <c r="E2" s="114"/>
      <c r="F2" s="114"/>
      <c r="G2" s="114"/>
      <c r="H2" s="114"/>
      <c r="I2" s="114"/>
      <c r="J2" s="114"/>
      <c r="K2" s="114"/>
      <c r="L2" s="114"/>
    </row>
    <row r="3" spans="2:12" ht="18" thickBot="1" x14ac:dyDescent="0.35">
      <c r="C3" s="1"/>
    </row>
    <row r="4" spans="2:12" ht="15.6" x14ac:dyDescent="0.3">
      <c r="B4" s="53" t="s">
        <v>12</v>
      </c>
      <c r="C4" s="25"/>
      <c r="D4" s="25"/>
      <c r="E4" s="26"/>
    </row>
    <row r="5" spans="2:12" ht="15" customHeight="1" x14ac:dyDescent="0.25">
      <c r="B5" s="36" t="s">
        <v>450</v>
      </c>
      <c r="C5" s="2" t="s">
        <v>496</v>
      </c>
      <c r="E5" s="30"/>
    </row>
    <row r="6" spans="2:12" x14ac:dyDescent="0.25">
      <c r="B6" s="42">
        <v>27</v>
      </c>
      <c r="C6" s="8" t="str">
        <f>'DIAGNOSTICO GESTIÓN AMBIENTAL'!N12</f>
        <v>Promedio</v>
      </c>
      <c r="E6" s="30"/>
    </row>
    <row r="7" spans="2:12" x14ac:dyDescent="0.25">
      <c r="B7" s="42">
        <v>28</v>
      </c>
      <c r="C7" s="8" t="str">
        <f>'DIAGNOSTICO GESTIÓN AMBIENTAL'!N19</f>
        <v>Promedio</v>
      </c>
      <c r="E7" s="30"/>
    </row>
    <row r="8" spans="2:12" ht="15.6" thickBot="1" x14ac:dyDescent="0.3">
      <c r="B8" s="42">
        <v>29</v>
      </c>
      <c r="C8" s="8" t="str">
        <f>'DIAGNOSTICO GESTIÓN AMBIENTAL'!N26</f>
        <v>Promedio</v>
      </c>
      <c r="E8" s="30"/>
    </row>
    <row r="9" spans="2:12" ht="15.6" thickBot="1" x14ac:dyDescent="0.3">
      <c r="B9" s="42">
        <v>30</v>
      </c>
      <c r="C9" s="8" t="str">
        <f>'DIAGNOSTICO GESTIÓN AMBIENTAL'!N33</f>
        <v>Promedio</v>
      </c>
      <c r="E9" s="30"/>
      <c r="F9" s="46"/>
      <c r="G9" s="25"/>
      <c r="H9" s="25"/>
      <c r="I9" s="26"/>
    </row>
    <row r="10" spans="2:12" ht="15.6" thickBot="1" x14ac:dyDescent="0.3">
      <c r="B10" s="42">
        <v>31</v>
      </c>
      <c r="C10" s="8" t="str">
        <f>'DIAGNOSTICO GESTIÓN AMBIENTAL'!N40</f>
        <v>Promedio</v>
      </c>
      <c r="E10" s="30"/>
      <c r="F10" s="36"/>
      <c r="G10" s="47" t="s">
        <v>380</v>
      </c>
      <c r="H10" s="43" t="e">
        <f>SUMIF(C6:C10,"&gt;0",C6:C10)/COUNTIF(C6:C10,"&gt;0")</f>
        <v>#DIV/0!</v>
      </c>
      <c r="I10" s="30"/>
    </row>
    <row r="11" spans="2:12" ht="15.6" thickBot="1" x14ac:dyDescent="0.3">
      <c r="B11" s="44"/>
      <c r="E11" s="30"/>
      <c r="F11" s="36"/>
      <c r="G11" s="36" t="s">
        <v>381</v>
      </c>
      <c r="H11" s="48" t="e">
        <f>SUMIF(C13:C20,"&gt;0",C13:C20)/COUNTIF(C13:C20,"&gt;0")</f>
        <v>#DIV/0!</v>
      </c>
      <c r="I11" s="30"/>
    </row>
    <row r="12" spans="2:12" ht="16.2" thickBot="1" x14ac:dyDescent="0.35">
      <c r="B12" s="70" t="s">
        <v>13</v>
      </c>
      <c r="E12" s="30"/>
      <c r="F12" s="36"/>
      <c r="G12" s="47" t="s">
        <v>382</v>
      </c>
      <c r="H12" s="43" t="e">
        <f>SUMIF(C23:C27,"&gt;0",C23:C27)/COUNTIF(C23:C27,"&gt;0")</f>
        <v>#DIV/0!</v>
      </c>
      <c r="I12" s="30"/>
    </row>
    <row r="13" spans="2:12" ht="15.6" thickBot="1" x14ac:dyDescent="0.3">
      <c r="B13" s="42">
        <v>32</v>
      </c>
      <c r="C13" s="8" t="str">
        <f>'DIAGNOSTICO GESTIÓN AMBIENTAL'!N50</f>
        <v>Promedio</v>
      </c>
      <c r="E13" s="30"/>
      <c r="F13" s="36"/>
      <c r="G13" s="36" t="s">
        <v>383</v>
      </c>
      <c r="H13" s="48" t="e">
        <f>SUMIF(C30:C41,"&gt;0",C30:C41)/COUNTIF(C30:C41,"&gt;0")</f>
        <v>#DIV/0!</v>
      </c>
      <c r="I13" s="30"/>
    </row>
    <row r="14" spans="2:12" ht="15.6" thickBot="1" x14ac:dyDescent="0.3">
      <c r="B14" s="42">
        <v>33</v>
      </c>
      <c r="C14" s="8" t="str">
        <f>'DIAGNOSTICO GESTIÓN AMBIENTAL'!N57</f>
        <v>Promedio</v>
      </c>
      <c r="E14" s="30"/>
      <c r="F14" s="36"/>
      <c r="G14" s="47" t="s">
        <v>384</v>
      </c>
      <c r="H14" s="43" t="e">
        <f>SUMIF(C44:C78,"&gt;0",C44:C78)/COUNTIF(C44:C78,"&gt;0")</f>
        <v>#DIV/0!</v>
      </c>
      <c r="I14" s="30"/>
    </row>
    <row r="15" spans="2:12" ht="15.6" thickBot="1" x14ac:dyDescent="0.3">
      <c r="B15" s="42">
        <v>34</v>
      </c>
      <c r="C15" s="8" t="str">
        <f>'DIAGNOSTICO GESTIÓN AMBIENTAL'!N64</f>
        <v>Promedio</v>
      </c>
      <c r="E15" s="30"/>
      <c r="F15" s="36"/>
      <c r="G15" s="37" t="s">
        <v>385</v>
      </c>
      <c r="H15" s="49" t="e">
        <f>SUMIF(C81:C92,"&gt;0",C81:C92)/COUNTIF(C81:C92,"&gt;0")</f>
        <v>#DIV/0!</v>
      </c>
      <c r="I15" s="30"/>
    </row>
    <row r="16" spans="2:12" ht="15.6" thickBot="1" x14ac:dyDescent="0.3">
      <c r="B16" s="42">
        <v>35</v>
      </c>
      <c r="C16" s="8" t="str">
        <f>'DIAGNOSTICO GESTIÓN AMBIENTAL'!N71</f>
        <v>Promedio</v>
      </c>
      <c r="E16" s="30"/>
      <c r="F16" s="37"/>
      <c r="G16" s="38"/>
      <c r="H16" s="38"/>
      <c r="I16" s="39"/>
    </row>
    <row r="17" spans="2:8" ht="15.6" thickBot="1" x14ac:dyDescent="0.3">
      <c r="B17" s="42">
        <v>36</v>
      </c>
      <c r="C17" s="8" t="str">
        <f>'DIAGNOSTICO GESTIÓN AMBIENTAL'!N78</f>
        <v>Promedio</v>
      </c>
      <c r="E17" s="30"/>
      <c r="G17" s="2" t="s">
        <v>497</v>
      </c>
      <c r="H17" s="43" t="e">
        <f>((SUM(H10:H16)/6)*100)/6</f>
        <v>#DIV/0!</v>
      </c>
    </row>
    <row r="18" spans="2:8" x14ac:dyDescent="0.25">
      <c r="B18" s="42">
        <v>37</v>
      </c>
      <c r="C18" s="8" t="str">
        <f>'DIAGNOSTICO GESTIÓN AMBIENTAL'!N85</f>
        <v>Promedio</v>
      </c>
      <c r="E18" s="30"/>
    </row>
    <row r="19" spans="2:8" x14ac:dyDescent="0.25">
      <c r="B19" s="42">
        <v>38</v>
      </c>
      <c r="C19" s="8" t="str">
        <f>'DIAGNOSTICO GESTIÓN AMBIENTAL'!N92</f>
        <v>Promedio</v>
      </c>
      <c r="E19" s="30"/>
    </row>
    <row r="20" spans="2:8" x14ac:dyDescent="0.25">
      <c r="B20" s="42">
        <v>39</v>
      </c>
      <c r="C20" s="8" t="str">
        <f>'DIAGNOSTICO GESTIÓN AMBIENTAL'!N99</f>
        <v>Promedio</v>
      </c>
      <c r="E20" s="30"/>
    </row>
    <row r="21" spans="2:8" x14ac:dyDescent="0.25">
      <c r="B21" s="44"/>
      <c r="E21" s="30"/>
    </row>
    <row r="22" spans="2:8" ht="15.6" x14ac:dyDescent="0.3">
      <c r="B22" s="70" t="s">
        <v>14</v>
      </c>
      <c r="E22" s="30"/>
    </row>
    <row r="23" spans="2:8" x14ac:dyDescent="0.25">
      <c r="B23" s="42">
        <v>40</v>
      </c>
      <c r="C23" s="8" t="str">
        <f>'DIAGNOSTICO GESTIÓN AMBIENTAL'!N109</f>
        <v>Promedio</v>
      </c>
      <c r="E23" s="30"/>
    </row>
    <row r="24" spans="2:8" x14ac:dyDescent="0.25">
      <c r="B24" s="42">
        <v>41</v>
      </c>
      <c r="C24" s="8" t="str">
        <f>'DIAGNOSTICO GESTIÓN AMBIENTAL'!N116</f>
        <v>Promedio</v>
      </c>
      <c r="E24" s="30"/>
    </row>
    <row r="25" spans="2:8" x14ac:dyDescent="0.25">
      <c r="B25" s="42">
        <v>42</v>
      </c>
      <c r="C25" s="8" t="str">
        <f>'DIAGNOSTICO GESTIÓN AMBIENTAL'!N123</f>
        <v>Promedio</v>
      </c>
      <c r="E25" s="30"/>
    </row>
    <row r="26" spans="2:8" x14ac:dyDescent="0.25">
      <c r="B26" s="42">
        <v>43</v>
      </c>
      <c r="C26" s="8" t="str">
        <f>'DIAGNOSTICO GESTIÓN AMBIENTAL'!N130</f>
        <v>Promedio</v>
      </c>
      <c r="E26" s="30"/>
    </row>
    <row r="27" spans="2:8" x14ac:dyDescent="0.25">
      <c r="B27" s="42">
        <v>44</v>
      </c>
      <c r="C27" s="8" t="str">
        <f>'DIAGNOSTICO GESTIÓN AMBIENTAL'!N137</f>
        <v>Promedio</v>
      </c>
      <c r="E27" s="30"/>
    </row>
    <row r="28" spans="2:8" x14ac:dyDescent="0.25">
      <c r="B28" s="44"/>
      <c r="E28" s="30"/>
    </row>
    <row r="29" spans="2:8" ht="15.6" x14ac:dyDescent="0.3">
      <c r="B29" s="70" t="s">
        <v>432</v>
      </c>
      <c r="E29" s="30"/>
    </row>
    <row r="30" spans="2:8" x14ac:dyDescent="0.25">
      <c r="B30" s="42">
        <v>45</v>
      </c>
      <c r="C30" s="8" t="str">
        <f>'DIAGNOSTICO GESTIÓN AMBIENTAL'!N147</f>
        <v>Promedio</v>
      </c>
      <c r="E30" s="30"/>
    </row>
    <row r="31" spans="2:8" x14ac:dyDescent="0.25">
      <c r="B31" s="42">
        <v>46</v>
      </c>
      <c r="C31" s="8" t="str">
        <f>'DIAGNOSTICO GESTIÓN AMBIENTAL'!N154</f>
        <v>Promedio</v>
      </c>
      <c r="E31" s="30"/>
    </row>
    <row r="32" spans="2:8" x14ac:dyDescent="0.25">
      <c r="B32" s="42">
        <v>47</v>
      </c>
      <c r="C32" s="8" t="str">
        <f>'DIAGNOSTICO GESTIÓN AMBIENTAL'!N161</f>
        <v>Promedio</v>
      </c>
      <c r="E32" s="30"/>
    </row>
    <row r="33" spans="2:5" x14ac:dyDescent="0.25">
      <c r="B33" s="42">
        <v>48</v>
      </c>
      <c r="C33" s="8" t="str">
        <f>'DIAGNOSTICO GESTIÓN AMBIENTAL'!N168</f>
        <v>Promedio</v>
      </c>
      <c r="E33" s="30"/>
    </row>
    <row r="34" spans="2:5" x14ac:dyDescent="0.25">
      <c r="B34" s="42">
        <v>49</v>
      </c>
      <c r="C34" s="8" t="str">
        <f>'DIAGNOSTICO GESTIÓN AMBIENTAL'!N175</f>
        <v>Promedio</v>
      </c>
      <c r="E34" s="30"/>
    </row>
    <row r="35" spans="2:5" x14ac:dyDescent="0.25">
      <c r="B35" s="42">
        <v>50</v>
      </c>
      <c r="C35" s="8" t="str">
        <f>'DIAGNOSTICO GESTIÓN AMBIENTAL'!N182</f>
        <v>Promedio</v>
      </c>
      <c r="E35" s="30"/>
    </row>
    <row r="36" spans="2:5" x14ac:dyDescent="0.25">
      <c r="B36" s="42">
        <v>51</v>
      </c>
      <c r="C36" s="8" t="str">
        <f>'DIAGNOSTICO GESTIÓN AMBIENTAL'!N189</f>
        <v>Promedio</v>
      </c>
      <c r="E36" s="30"/>
    </row>
    <row r="37" spans="2:5" x14ac:dyDescent="0.25">
      <c r="B37" s="42">
        <v>52</v>
      </c>
      <c r="C37" s="8" t="str">
        <f>'DIAGNOSTICO GESTIÓN AMBIENTAL'!N196</f>
        <v>Promedio</v>
      </c>
      <c r="E37" s="30"/>
    </row>
    <row r="38" spans="2:5" x14ac:dyDescent="0.25">
      <c r="B38" s="42">
        <v>53</v>
      </c>
      <c r="C38" s="8" t="str">
        <f>'DIAGNOSTICO GESTIÓN AMBIENTAL'!N203</f>
        <v>Promedio</v>
      </c>
      <c r="E38" s="30"/>
    </row>
    <row r="39" spans="2:5" x14ac:dyDescent="0.25">
      <c r="B39" s="42">
        <v>54</v>
      </c>
      <c r="C39" s="8" t="str">
        <f>'DIAGNOSTICO GESTIÓN AMBIENTAL'!N210</f>
        <v>Promedio</v>
      </c>
      <c r="E39" s="30"/>
    </row>
    <row r="40" spans="2:5" x14ac:dyDescent="0.25">
      <c r="B40" s="42">
        <v>55</v>
      </c>
      <c r="C40" s="8" t="str">
        <f>'DIAGNOSTICO GESTIÓN AMBIENTAL'!N217</f>
        <v>Promedio</v>
      </c>
      <c r="E40" s="30"/>
    </row>
    <row r="41" spans="2:5" x14ac:dyDescent="0.25">
      <c r="B41" s="42">
        <v>56</v>
      </c>
      <c r="C41" s="8" t="str">
        <f>'DIAGNOSTICO GESTIÓN AMBIENTAL'!N224</f>
        <v>Promedio</v>
      </c>
      <c r="E41" s="30"/>
    </row>
    <row r="42" spans="2:5" x14ac:dyDescent="0.25">
      <c r="B42" s="44"/>
      <c r="E42" s="30"/>
    </row>
    <row r="43" spans="2:5" ht="15.6" x14ac:dyDescent="0.3">
      <c r="B43" s="70" t="s">
        <v>15</v>
      </c>
      <c r="E43" s="30"/>
    </row>
    <row r="44" spans="2:5" x14ac:dyDescent="0.25">
      <c r="B44" s="42">
        <v>57</v>
      </c>
      <c r="C44" s="8" t="str">
        <f>'DIAGNOSTICO GESTIÓN AMBIENTAL'!N235</f>
        <v>Promedio</v>
      </c>
      <c r="E44" s="30"/>
    </row>
    <row r="45" spans="2:5" x14ac:dyDescent="0.25">
      <c r="B45" s="42">
        <v>58</v>
      </c>
      <c r="C45" s="8" t="str">
        <f>'DIAGNOSTICO GESTIÓN AMBIENTAL'!N242</f>
        <v>Promedio</v>
      </c>
      <c r="E45" s="30"/>
    </row>
    <row r="46" spans="2:5" x14ac:dyDescent="0.25">
      <c r="B46" s="42">
        <v>59</v>
      </c>
      <c r="C46" s="8" t="str">
        <f>'DIAGNOSTICO GESTIÓN AMBIENTAL'!N249</f>
        <v>Promedio</v>
      </c>
      <c r="E46" s="30"/>
    </row>
    <row r="47" spans="2:5" x14ac:dyDescent="0.25">
      <c r="B47" s="42">
        <v>60</v>
      </c>
      <c r="C47" s="8" t="str">
        <f>'DIAGNOSTICO GESTIÓN AMBIENTAL'!N256</f>
        <v>Promedio</v>
      </c>
      <c r="E47" s="30"/>
    </row>
    <row r="48" spans="2:5" x14ac:dyDescent="0.25">
      <c r="B48" s="42">
        <v>61</v>
      </c>
      <c r="C48" s="8" t="str">
        <f>'DIAGNOSTICO GESTIÓN AMBIENTAL'!N263</f>
        <v>Promedio</v>
      </c>
      <c r="E48" s="30"/>
    </row>
    <row r="49" spans="2:5" x14ac:dyDescent="0.25">
      <c r="B49" s="42">
        <v>62</v>
      </c>
      <c r="C49" s="8" t="str">
        <f>'DIAGNOSTICO GESTIÓN AMBIENTAL'!N270</f>
        <v>Promedio</v>
      </c>
      <c r="E49" s="30"/>
    </row>
    <row r="50" spans="2:5" x14ac:dyDescent="0.25">
      <c r="B50" s="42">
        <v>63</v>
      </c>
      <c r="C50" s="8" t="str">
        <f>'DIAGNOSTICO GESTIÓN AMBIENTAL'!N277</f>
        <v>Promedio</v>
      </c>
      <c r="E50" s="30"/>
    </row>
    <row r="51" spans="2:5" x14ac:dyDescent="0.25">
      <c r="B51" s="42">
        <v>64</v>
      </c>
      <c r="C51" s="8" t="str">
        <f>'DIAGNOSTICO GESTIÓN AMBIENTAL'!N284</f>
        <v>Promedio</v>
      </c>
      <c r="E51" s="30"/>
    </row>
    <row r="52" spans="2:5" x14ac:dyDescent="0.25">
      <c r="B52" s="42">
        <v>65</v>
      </c>
      <c r="C52" s="8" t="str">
        <f>'DIAGNOSTICO GESTIÓN AMBIENTAL'!N291</f>
        <v>Promedio</v>
      </c>
      <c r="E52" s="30"/>
    </row>
    <row r="53" spans="2:5" x14ac:dyDescent="0.25">
      <c r="B53" s="42">
        <v>66</v>
      </c>
      <c r="C53" s="8" t="str">
        <f>'DIAGNOSTICO GESTIÓN AMBIENTAL'!N298</f>
        <v>Promedio</v>
      </c>
      <c r="E53" s="30"/>
    </row>
    <row r="54" spans="2:5" x14ac:dyDescent="0.25">
      <c r="B54" s="42">
        <v>67</v>
      </c>
      <c r="C54" s="8" t="str">
        <f>'DIAGNOSTICO GESTIÓN AMBIENTAL'!N305</f>
        <v>Promedio</v>
      </c>
      <c r="E54" s="30"/>
    </row>
    <row r="55" spans="2:5" x14ac:dyDescent="0.25">
      <c r="B55" s="42">
        <v>68</v>
      </c>
      <c r="C55" s="8" t="str">
        <f>'DIAGNOSTICO GESTIÓN AMBIENTAL'!N312</f>
        <v>Promedio</v>
      </c>
      <c r="E55" s="30"/>
    </row>
    <row r="56" spans="2:5" x14ac:dyDescent="0.25">
      <c r="B56" s="42">
        <v>69</v>
      </c>
      <c r="C56" s="8" t="str">
        <f>'DIAGNOSTICO GESTIÓN AMBIENTAL'!N319</f>
        <v>Promedio</v>
      </c>
      <c r="E56" s="30"/>
    </row>
    <row r="57" spans="2:5" x14ac:dyDescent="0.25">
      <c r="B57" s="42">
        <v>70</v>
      </c>
      <c r="C57" s="8" t="str">
        <f>'DIAGNOSTICO GESTIÓN AMBIENTAL'!N326</f>
        <v>Promedio</v>
      </c>
      <c r="E57" s="30"/>
    </row>
    <row r="58" spans="2:5" x14ac:dyDescent="0.25">
      <c r="B58" s="42">
        <v>71</v>
      </c>
      <c r="C58" s="8" t="str">
        <f>'DIAGNOSTICO GESTIÓN AMBIENTAL'!N333</f>
        <v>Promedio</v>
      </c>
      <c r="E58" s="30"/>
    </row>
    <row r="59" spans="2:5" x14ac:dyDescent="0.25">
      <c r="B59" s="42">
        <v>72</v>
      </c>
      <c r="C59" s="8" t="str">
        <f>'DIAGNOSTICO GESTIÓN AMBIENTAL'!N340</f>
        <v>Promedio</v>
      </c>
      <c r="E59" s="30"/>
    </row>
    <row r="60" spans="2:5" x14ac:dyDescent="0.25">
      <c r="B60" s="42">
        <v>73</v>
      </c>
      <c r="C60" s="8" t="str">
        <f>'DIAGNOSTICO GESTIÓN AMBIENTAL'!N347</f>
        <v>Promedio</v>
      </c>
      <c r="E60" s="30"/>
    </row>
    <row r="61" spans="2:5" x14ac:dyDescent="0.25">
      <c r="B61" s="42">
        <v>74</v>
      </c>
      <c r="C61" s="8" t="str">
        <f>'DIAGNOSTICO GESTIÓN AMBIENTAL'!N354</f>
        <v>Promedio</v>
      </c>
      <c r="E61" s="30"/>
    </row>
    <row r="62" spans="2:5" x14ac:dyDescent="0.25">
      <c r="B62" s="42">
        <v>75</v>
      </c>
      <c r="C62" s="8" t="str">
        <f>'DIAGNOSTICO GESTIÓN AMBIENTAL'!N361</f>
        <v>Promedio</v>
      </c>
      <c r="E62" s="30"/>
    </row>
    <row r="63" spans="2:5" x14ac:dyDescent="0.25">
      <c r="B63" s="42">
        <v>76</v>
      </c>
      <c r="C63" s="8" t="str">
        <f>'DIAGNOSTICO GESTIÓN AMBIENTAL'!N368</f>
        <v>Promedio</v>
      </c>
      <c r="E63" s="30"/>
    </row>
    <row r="64" spans="2:5" x14ac:dyDescent="0.25">
      <c r="B64" s="42">
        <v>77</v>
      </c>
      <c r="C64" s="8" t="str">
        <f>'DIAGNOSTICO GESTIÓN AMBIENTAL'!N375</f>
        <v>Promedio</v>
      </c>
      <c r="E64" s="30"/>
    </row>
    <row r="65" spans="2:5" x14ac:dyDescent="0.25">
      <c r="B65" s="42">
        <v>78</v>
      </c>
      <c r="C65" s="8" t="str">
        <f>'DIAGNOSTICO GESTIÓN AMBIENTAL'!N382</f>
        <v>Promedio</v>
      </c>
      <c r="E65" s="30"/>
    </row>
    <row r="66" spans="2:5" x14ac:dyDescent="0.25">
      <c r="B66" s="42">
        <v>79</v>
      </c>
      <c r="C66" s="8" t="str">
        <f>'DIAGNOSTICO GESTIÓN AMBIENTAL'!N389</f>
        <v>Promedio</v>
      </c>
      <c r="E66" s="30"/>
    </row>
    <row r="67" spans="2:5" x14ac:dyDescent="0.25">
      <c r="B67" s="42">
        <v>80</v>
      </c>
      <c r="C67" s="8" t="str">
        <f>'DIAGNOSTICO GESTIÓN AMBIENTAL'!N396</f>
        <v>Promedio</v>
      </c>
      <c r="E67" s="30"/>
    </row>
    <row r="68" spans="2:5" x14ac:dyDescent="0.25">
      <c r="B68" s="42">
        <v>81</v>
      </c>
      <c r="C68" s="8" t="str">
        <f>'DIAGNOSTICO GESTIÓN AMBIENTAL'!N403</f>
        <v>Promedio</v>
      </c>
      <c r="E68" s="30"/>
    </row>
    <row r="69" spans="2:5" x14ac:dyDescent="0.25">
      <c r="B69" s="42">
        <v>82</v>
      </c>
      <c r="C69" s="8" t="str">
        <f>'DIAGNOSTICO GESTIÓN AMBIENTAL'!N410</f>
        <v>Promedio</v>
      </c>
      <c r="E69" s="30"/>
    </row>
    <row r="70" spans="2:5" x14ac:dyDescent="0.25">
      <c r="B70" s="42">
        <v>83</v>
      </c>
      <c r="C70" s="8" t="str">
        <f>'DIAGNOSTICO GESTIÓN AMBIENTAL'!N417</f>
        <v>Promedio</v>
      </c>
      <c r="E70" s="30"/>
    </row>
    <row r="71" spans="2:5" x14ac:dyDescent="0.25">
      <c r="B71" s="42">
        <v>84</v>
      </c>
      <c r="C71" s="8" t="str">
        <f>'DIAGNOSTICO GESTIÓN AMBIENTAL'!N424</f>
        <v>Promedio</v>
      </c>
      <c r="E71" s="30"/>
    </row>
    <row r="72" spans="2:5" x14ac:dyDescent="0.25">
      <c r="B72" s="42">
        <v>85</v>
      </c>
      <c r="C72" s="8" t="str">
        <f>'DIAGNOSTICO GESTIÓN AMBIENTAL'!N431</f>
        <v>Promedio</v>
      </c>
      <c r="E72" s="30"/>
    </row>
    <row r="73" spans="2:5" x14ac:dyDescent="0.25">
      <c r="B73" s="42">
        <v>86</v>
      </c>
      <c r="C73" s="8" t="str">
        <f>'DIAGNOSTICO GESTIÓN AMBIENTAL'!N438</f>
        <v>Promedio</v>
      </c>
      <c r="E73" s="30"/>
    </row>
    <row r="74" spans="2:5" x14ac:dyDescent="0.25">
      <c r="B74" s="42">
        <v>87</v>
      </c>
      <c r="C74" s="8" t="str">
        <f>'DIAGNOSTICO GESTIÓN AMBIENTAL'!N445</f>
        <v>Promedio</v>
      </c>
      <c r="E74" s="30"/>
    </row>
    <row r="75" spans="2:5" x14ac:dyDescent="0.25">
      <c r="B75" s="42">
        <v>88</v>
      </c>
      <c r="C75" s="8" t="str">
        <f>'DIAGNOSTICO GESTIÓN AMBIENTAL'!N452</f>
        <v>Promedio</v>
      </c>
      <c r="E75" s="30"/>
    </row>
    <row r="76" spans="2:5" x14ac:dyDescent="0.25">
      <c r="B76" s="42">
        <v>89</v>
      </c>
      <c r="C76" s="8" t="str">
        <f>'DIAGNOSTICO GESTIÓN AMBIENTAL'!N459</f>
        <v>Promedio</v>
      </c>
      <c r="E76" s="30"/>
    </row>
    <row r="77" spans="2:5" x14ac:dyDescent="0.25">
      <c r="B77" s="42">
        <v>90</v>
      </c>
      <c r="C77" s="8" t="str">
        <f>'DIAGNOSTICO GESTIÓN AMBIENTAL'!N466</f>
        <v>Promedio</v>
      </c>
      <c r="E77" s="30"/>
    </row>
    <row r="78" spans="2:5" x14ac:dyDescent="0.25">
      <c r="B78" s="42">
        <v>91</v>
      </c>
      <c r="C78" s="8" t="str">
        <f>'DIAGNOSTICO GESTIÓN AMBIENTAL'!N473</f>
        <v>Promedio</v>
      </c>
      <c r="E78" s="30"/>
    </row>
    <row r="79" spans="2:5" x14ac:dyDescent="0.25">
      <c r="B79" s="44"/>
      <c r="E79" s="30"/>
    </row>
    <row r="80" spans="2:5" ht="15.6" x14ac:dyDescent="0.3">
      <c r="B80" s="70" t="s">
        <v>434</v>
      </c>
      <c r="E80" s="30"/>
    </row>
    <row r="81" spans="2:5" x14ac:dyDescent="0.25">
      <c r="B81" s="42">
        <v>92</v>
      </c>
      <c r="C81" s="8" t="str">
        <f>'DIAGNOSTICO GESTIÓN AMBIENTAL'!N483</f>
        <v>Promedio</v>
      </c>
      <c r="E81" s="30"/>
    </row>
    <row r="82" spans="2:5" x14ac:dyDescent="0.25">
      <c r="B82" s="42">
        <v>93</v>
      </c>
      <c r="C82" s="8" t="str">
        <f>'DIAGNOSTICO GESTIÓN AMBIENTAL'!N490</f>
        <v>Promedio</v>
      </c>
      <c r="E82" s="30"/>
    </row>
    <row r="83" spans="2:5" x14ac:dyDescent="0.25">
      <c r="B83" s="42">
        <v>94</v>
      </c>
      <c r="C83" s="8" t="str">
        <f>'DIAGNOSTICO GESTIÓN AMBIENTAL'!N497</f>
        <v>Promedio</v>
      </c>
      <c r="E83" s="30"/>
    </row>
    <row r="84" spans="2:5" x14ac:dyDescent="0.25">
      <c r="B84" s="42">
        <v>95</v>
      </c>
      <c r="C84" s="8" t="str">
        <f>'DIAGNOSTICO GESTIÓN AMBIENTAL'!N504</f>
        <v>Promedio</v>
      </c>
      <c r="E84" s="30"/>
    </row>
    <row r="85" spans="2:5" x14ac:dyDescent="0.25">
      <c r="B85" s="42">
        <v>96</v>
      </c>
      <c r="C85" s="8" t="str">
        <f>'DIAGNOSTICO GESTIÓN AMBIENTAL'!N511</f>
        <v>Promedio</v>
      </c>
      <c r="E85" s="30"/>
    </row>
    <row r="86" spans="2:5" x14ac:dyDescent="0.25">
      <c r="B86" s="42">
        <v>97</v>
      </c>
      <c r="C86" s="8" t="str">
        <f>'DIAGNOSTICO GESTIÓN AMBIENTAL'!N518</f>
        <v>Promedio</v>
      </c>
      <c r="E86" s="30"/>
    </row>
    <row r="87" spans="2:5" x14ac:dyDescent="0.25">
      <c r="B87" s="42">
        <v>98</v>
      </c>
      <c r="C87" s="8" t="str">
        <f>'DIAGNOSTICO GESTIÓN AMBIENTAL'!N525</f>
        <v>Promedio</v>
      </c>
      <c r="E87" s="30"/>
    </row>
    <row r="88" spans="2:5" x14ac:dyDescent="0.25">
      <c r="B88" s="42">
        <v>99</v>
      </c>
      <c r="C88" s="8" t="str">
        <f>'DIAGNOSTICO GESTIÓN AMBIENTAL'!N532</f>
        <v>Promedio</v>
      </c>
      <c r="E88" s="30"/>
    </row>
    <row r="89" spans="2:5" x14ac:dyDescent="0.25">
      <c r="B89" s="42">
        <v>100</v>
      </c>
      <c r="C89" s="8" t="str">
        <f>'DIAGNOSTICO GESTIÓN AMBIENTAL'!N539</f>
        <v>Promedio</v>
      </c>
      <c r="E89" s="30"/>
    </row>
    <row r="90" spans="2:5" x14ac:dyDescent="0.25">
      <c r="B90" s="42">
        <v>101</v>
      </c>
      <c r="C90" s="8" t="str">
        <f>'DIAGNOSTICO GESTIÓN AMBIENTAL'!N546</f>
        <v>Promedio</v>
      </c>
      <c r="E90" s="30"/>
    </row>
    <row r="91" spans="2:5" x14ac:dyDescent="0.25">
      <c r="B91" s="42">
        <v>102</v>
      </c>
      <c r="C91" s="8" t="str">
        <f>'DIAGNOSTICO GESTIÓN AMBIENTAL'!N553</f>
        <v>Promedio</v>
      </c>
      <c r="E91" s="30"/>
    </row>
    <row r="92" spans="2:5" x14ac:dyDescent="0.25">
      <c r="B92" s="42">
        <v>103</v>
      </c>
      <c r="C92" s="8" t="str">
        <f>'DIAGNOSTICO GESTIÓN AMBIENTAL'!N560</f>
        <v>Promedio</v>
      </c>
      <c r="E92" s="30"/>
    </row>
    <row r="93" spans="2:5" ht="15.6" thickBot="1" x14ac:dyDescent="0.3">
      <c r="B93" s="37"/>
      <c r="C93" s="38"/>
      <c r="D93" s="38"/>
      <c r="E93" s="39"/>
    </row>
  </sheetData>
  <mergeCells count="1">
    <mergeCell ref="B2:L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N156"/>
  <sheetViews>
    <sheetView showGridLines="0" zoomScaleNormal="100" workbookViewId="0">
      <selection activeCell="B2" sqref="B2"/>
    </sheetView>
  </sheetViews>
  <sheetFormatPr baseColWidth="10" defaultColWidth="11.44140625" defaultRowHeight="15" x14ac:dyDescent="0.25"/>
  <cols>
    <col min="1" max="2" width="11.44140625" style="2"/>
    <col min="3" max="3" width="28.5546875" style="2" customWidth="1"/>
    <col min="4" max="5" width="2.88671875" style="2" customWidth="1"/>
    <col min="6" max="6" width="6.6640625" style="2" customWidth="1"/>
    <col min="7" max="7" width="3" style="2" customWidth="1"/>
    <col min="8" max="8" width="4.88671875" style="2" customWidth="1"/>
    <col min="9" max="9" width="2.88671875" style="2" customWidth="1"/>
    <col min="10" max="10" width="5.44140625" style="2" customWidth="1"/>
    <col min="11" max="11" width="2.88671875" style="2" customWidth="1"/>
    <col min="12" max="12" width="4.6640625" style="2" customWidth="1"/>
    <col min="13" max="13" width="14.44140625" style="2" bestFit="1" customWidth="1"/>
    <col min="14" max="16384" width="11.44140625" style="2"/>
  </cols>
  <sheetData>
    <row r="2" spans="2:14" ht="17.399999999999999" x14ac:dyDescent="0.3">
      <c r="B2" s="2" t="s">
        <v>479</v>
      </c>
    </row>
    <row r="4" spans="2:14" ht="15.6" x14ac:dyDescent="0.3">
      <c r="B4" s="3" t="s">
        <v>427</v>
      </c>
    </row>
    <row r="5" spans="2:14" ht="15.6" x14ac:dyDescent="0.3">
      <c r="E5" s="3">
        <v>3</v>
      </c>
      <c r="F5" s="3"/>
      <c r="G5" s="3">
        <v>2</v>
      </c>
      <c r="H5" s="3"/>
      <c r="I5" s="3">
        <v>1</v>
      </c>
      <c r="J5" s="3"/>
      <c r="K5" s="3">
        <v>0</v>
      </c>
    </row>
    <row r="6" spans="2:14" ht="15.6" x14ac:dyDescent="0.3">
      <c r="B6" s="3" t="s">
        <v>17</v>
      </c>
    </row>
    <row r="7" spans="2:14" ht="15.6" thickBot="1" x14ac:dyDescent="0.3"/>
    <row r="8" spans="2:14" x14ac:dyDescent="0.25">
      <c r="B8" s="115" t="s">
        <v>206</v>
      </c>
      <c r="C8" s="108" t="s">
        <v>207</v>
      </c>
      <c r="D8" s="22"/>
      <c r="E8" s="23"/>
      <c r="F8" s="24"/>
      <c r="G8" s="25"/>
      <c r="H8" s="25"/>
      <c r="I8" s="25"/>
      <c r="J8" s="25"/>
      <c r="K8" s="25"/>
      <c r="L8" s="26"/>
    </row>
    <row r="9" spans="2:14" ht="15.6" thickBot="1" x14ac:dyDescent="0.3">
      <c r="B9" s="116"/>
      <c r="C9" s="109"/>
      <c r="D9" s="27"/>
      <c r="E9" s="28"/>
      <c r="F9" s="29"/>
      <c r="L9" s="30"/>
    </row>
    <row r="10" spans="2:14" ht="16.2" thickBot="1" x14ac:dyDescent="0.35">
      <c r="B10" s="116"/>
      <c r="C10" s="109"/>
      <c r="D10" s="27"/>
      <c r="E10" s="31"/>
      <c r="F10" s="32" t="s">
        <v>0</v>
      </c>
      <c r="G10" s="33"/>
      <c r="H10" s="3" t="s">
        <v>2</v>
      </c>
      <c r="I10" s="33"/>
      <c r="J10" s="34" t="s">
        <v>3</v>
      </c>
      <c r="K10" s="33"/>
      <c r="L10" s="35" t="s">
        <v>4</v>
      </c>
      <c r="M10" s="2" t="str">
        <f>IF(E10="X","",IF(G10="X","",IF(I10="X","",IF(K10="X","","Elegir opción"))))</f>
        <v>Elegir opción</v>
      </c>
      <c r="N10" s="28" t="str">
        <f>IF(E10="X",3,IF(G10="X",2,IF(I10="X",1,IF(K10="X",0,"Promedio"))))</f>
        <v>Promedio</v>
      </c>
    </row>
    <row r="11" spans="2:14" x14ac:dyDescent="0.25">
      <c r="B11" s="116"/>
      <c r="C11" s="109"/>
      <c r="D11" s="36"/>
      <c r="L11" s="30"/>
    </row>
    <row r="12" spans="2:14" x14ac:dyDescent="0.25">
      <c r="B12" s="116"/>
      <c r="C12" s="109"/>
      <c r="D12" s="36"/>
      <c r="L12" s="30"/>
    </row>
    <row r="13" spans="2:14" ht="15.6" thickBot="1" x14ac:dyDescent="0.3">
      <c r="B13" s="117"/>
      <c r="C13" s="110"/>
      <c r="D13" s="37"/>
      <c r="E13" s="38"/>
      <c r="F13" s="38"/>
      <c r="G13" s="38"/>
      <c r="H13" s="38"/>
      <c r="I13" s="38"/>
      <c r="J13" s="38"/>
      <c r="K13" s="38"/>
      <c r="L13" s="39"/>
    </row>
    <row r="14" spans="2:14" ht="8.4" customHeight="1" thickBot="1" x14ac:dyDescent="0.3"/>
    <row r="15" spans="2:14" x14ac:dyDescent="0.25">
      <c r="B15" s="115" t="s">
        <v>208</v>
      </c>
      <c r="C15" s="108" t="s">
        <v>480</v>
      </c>
      <c r="D15" s="22"/>
      <c r="E15" s="23"/>
      <c r="F15" s="24"/>
      <c r="G15" s="25"/>
      <c r="H15" s="25"/>
      <c r="I15" s="25"/>
      <c r="J15" s="25"/>
      <c r="K15" s="25"/>
      <c r="L15" s="26"/>
    </row>
    <row r="16" spans="2:14" ht="15.6" thickBot="1" x14ac:dyDescent="0.3">
      <c r="B16" s="116"/>
      <c r="C16" s="109"/>
      <c r="D16" s="27"/>
      <c r="E16" s="28"/>
      <c r="F16" s="29"/>
      <c r="L16" s="30"/>
    </row>
    <row r="17" spans="2:14" ht="16.2" thickBot="1" x14ac:dyDescent="0.35">
      <c r="B17" s="116"/>
      <c r="C17" s="109"/>
      <c r="D17" s="27"/>
      <c r="E17" s="31"/>
      <c r="F17" s="32" t="s">
        <v>0</v>
      </c>
      <c r="G17" s="33"/>
      <c r="H17" s="3" t="s">
        <v>2</v>
      </c>
      <c r="I17" s="33"/>
      <c r="J17" s="34" t="s">
        <v>3</v>
      </c>
      <c r="K17" s="33"/>
      <c r="L17" s="35" t="s">
        <v>4</v>
      </c>
      <c r="M17" s="2" t="str">
        <f>IF(E17="X","",IF(G17="X","",IF(I17="X","",IF(K17="X","","Elegir opción"))))</f>
        <v>Elegir opción</v>
      </c>
      <c r="N17" s="28" t="str">
        <f>IF(E17="X",3,IF(G17="X",2,IF(I17="X",1,IF(K17="X",0,"Promedio"))))</f>
        <v>Promedio</v>
      </c>
    </row>
    <row r="18" spans="2:14" x14ac:dyDescent="0.25">
      <c r="B18" s="116"/>
      <c r="C18" s="109"/>
      <c r="D18" s="36"/>
      <c r="L18" s="30"/>
    </row>
    <row r="19" spans="2:14" x14ac:dyDescent="0.25">
      <c r="B19" s="116"/>
      <c r="C19" s="109"/>
      <c r="D19" s="36"/>
      <c r="L19" s="30"/>
    </row>
    <row r="20" spans="2:14" ht="15.6" thickBot="1" x14ac:dyDescent="0.3">
      <c r="B20" s="117"/>
      <c r="C20" s="110"/>
      <c r="D20" s="37"/>
      <c r="E20" s="38"/>
      <c r="F20" s="38"/>
      <c r="G20" s="38"/>
      <c r="H20" s="38"/>
      <c r="I20" s="38"/>
      <c r="J20" s="38"/>
      <c r="K20" s="38"/>
      <c r="L20" s="39"/>
    </row>
    <row r="21" spans="2:14" ht="8.4" customHeight="1" thickBot="1" x14ac:dyDescent="0.3"/>
    <row r="22" spans="2:14" x14ac:dyDescent="0.25">
      <c r="B22" s="115" t="s">
        <v>219</v>
      </c>
      <c r="C22" s="108" t="s">
        <v>481</v>
      </c>
      <c r="D22" s="22"/>
      <c r="E22" s="23"/>
      <c r="F22" s="24"/>
      <c r="G22" s="25"/>
      <c r="H22" s="25"/>
      <c r="I22" s="25"/>
      <c r="J22" s="25"/>
      <c r="K22" s="25"/>
      <c r="L22" s="26"/>
    </row>
    <row r="23" spans="2:14" ht="15.6" thickBot="1" x14ac:dyDescent="0.3">
      <c r="B23" s="116"/>
      <c r="C23" s="109"/>
      <c r="D23" s="27"/>
      <c r="E23" s="28"/>
      <c r="F23" s="29"/>
      <c r="L23" s="30"/>
    </row>
    <row r="24" spans="2:14" ht="16.2" thickBot="1" x14ac:dyDescent="0.35">
      <c r="B24" s="116"/>
      <c r="C24" s="109"/>
      <c r="D24" s="27"/>
      <c r="E24" s="31"/>
      <c r="F24" s="32" t="s">
        <v>0</v>
      </c>
      <c r="G24" s="33"/>
      <c r="H24" s="3" t="s">
        <v>2</v>
      </c>
      <c r="I24" s="33"/>
      <c r="J24" s="34" t="s">
        <v>3</v>
      </c>
      <c r="K24" s="33"/>
      <c r="L24" s="35" t="s">
        <v>4</v>
      </c>
      <c r="M24" s="2" t="str">
        <f>IF(E24="X","",IF(G24="X","",IF(I24="X","",IF(K24="X","","Elegir opción"))))</f>
        <v>Elegir opción</v>
      </c>
      <c r="N24" s="28" t="str">
        <f>IF(E24="X",3,IF(G24="X",2,IF(I24="X",1,IF(K24="X",0,"Promedio"))))</f>
        <v>Promedio</v>
      </c>
    </row>
    <row r="25" spans="2:14" x14ac:dyDescent="0.25">
      <c r="B25" s="116"/>
      <c r="C25" s="109"/>
      <c r="D25" s="36"/>
      <c r="L25" s="30"/>
    </row>
    <row r="26" spans="2:14" x14ac:dyDescent="0.25">
      <c r="B26" s="116"/>
      <c r="C26" s="109"/>
      <c r="D26" s="36"/>
      <c r="L26" s="30"/>
    </row>
    <row r="27" spans="2:14" ht="15.6" thickBot="1" x14ac:dyDescent="0.3">
      <c r="B27" s="117"/>
      <c r="C27" s="110"/>
      <c r="D27" s="37"/>
      <c r="E27" s="38"/>
      <c r="F27" s="38"/>
      <c r="G27" s="38"/>
      <c r="H27" s="38"/>
      <c r="I27" s="38"/>
      <c r="J27" s="38"/>
      <c r="K27" s="38"/>
      <c r="L27" s="39"/>
    </row>
    <row r="28" spans="2:14" ht="8.4" customHeight="1" thickBot="1" x14ac:dyDescent="0.3"/>
    <row r="29" spans="2:14" x14ac:dyDescent="0.25">
      <c r="B29" s="115" t="s">
        <v>220</v>
      </c>
      <c r="C29" s="108" t="s">
        <v>209</v>
      </c>
      <c r="D29" s="22"/>
      <c r="E29" s="23"/>
      <c r="F29" s="24"/>
      <c r="G29" s="25"/>
      <c r="H29" s="25"/>
      <c r="I29" s="25"/>
      <c r="J29" s="25"/>
      <c r="K29" s="25"/>
      <c r="L29" s="26"/>
    </row>
    <row r="30" spans="2:14" ht="15.6" thickBot="1" x14ac:dyDescent="0.3">
      <c r="B30" s="116"/>
      <c r="C30" s="109"/>
      <c r="D30" s="27"/>
      <c r="E30" s="28"/>
      <c r="F30" s="29"/>
      <c r="L30" s="30"/>
    </row>
    <row r="31" spans="2:14" ht="16.2" thickBot="1" x14ac:dyDescent="0.35">
      <c r="B31" s="116"/>
      <c r="C31" s="109"/>
      <c r="D31" s="27"/>
      <c r="E31" s="31"/>
      <c r="F31" s="32" t="s">
        <v>0</v>
      </c>
      <c r="G31" s="33"/>
      <c r="H31" s="3" t="s">
        <v>2</v>
      </c>
      <c r="I31" s="33"/>
      <c r="J31" s="34" t="s">
        <v>3</v>
      </c>
      <c r="K31" s="33"/>
      <c r="L31" s="35" t="s">
        <v>4</v>
      </c>
      <c r="M31" s="2" t="str">
        <f>IF(E31="X","",IF(G31="X","",IF(I31="X","",IF(K31="X","","Elegir opción"))))</f>
        <v>Elegir opción</v>
      </c>
      <c r="N31" s="28" t="str">
        <f>IF(E31="X",3,IF(G31="X",2,IF(I31="X",1,IF(K31="X",0,"Promedio"))))</f>
        <v>Promedio</v>
      </c>
    </row>
    <row r="32" spans="2:14" x14ac:dyDescent="0.25">
      <c r="B32" s="116"/>
      <c r="C32" s="109"/>
      <c r="D32" s="36"/>
      <c r="L32" s="30"/>
    </row>
    <row r="33" spans="2:14" x14ac:dyDescent="0.25">
      <c r="B33" s="116"/>
      <c r="C33" s="109"/>
      <c r="D33" s="36"/>
      <c r="L33" s="30"/>
    </row>
    <row r="34" spans="2:14" ht="15.6" thickBot="1" x14ac:dyDescent="0.3">
      <c r="B34" s="117"/>
      <c r="C34" s="110"/>
      <c r="D34" s="37"/>
      <c r="E34" s="38"/>
      <c r="F34" s="38"/>
      <c r="G34" s="38"/>
      <c r="H34" s="38"/>
      <c r="I34" s="38"/>
      <c r="J34" s="38"/>
      <c r="K34" s="38"/>
      <c r="L34" s="39"/>
    </row>
    <row r="35" spans="2:14" ht="8.4" customHeight="1" thickBot="1" x14ac:dyDescent="0.3">
      <c r="B35" s="50"/>
      <c r="C35" s="41"/>
    </row>
    <row r="36" spans="2:14" x14ac:dyDescent="0.25">
      <c r="B36" s="115" t="s">
        <v>221</v>
      </c>
      <c r="C36" s="108" t="s">
        <v>216</v>
      </c>
      <c r="D36" s="22"/>
      <c r="E36" s="23"/>
      <c r="F36" s="24"/>
      <c r="G36" s="25"/>
      <c r="H36" s="25"/>
      <c r="I36" s="25"/>
      <c r="J36" s="25"/>
      <c r="K36" s="25"/>
      <c r="L36" s="26"/>
    </row>
    <row r="37" spans="2:14" ht="15.6" thickBot="1" x14ac:dyDescent="0.3">
      <c r="B37" s="116"/>
      <c r="C37" s="109"/>
      <c r="D37" s="27"/>
      <c r="E37" s="28"/>
      <c r="F37" s="29"/>
      <c r="L37" s="30"/>
    </row>
    <row r="38" spans="2:14" ht="16.2" thickBot="1" x14ac:dyDescent="0.35">
      <c r="B38" s="116"/>
      <c r="C38" s="109"/>
      <c r="D38" s="27"/>
      <c r="E38" s="31"/>
      <c r="F38" s="32" t="s">
        <v>0</v>
      </c>
      <c r="G38" s="33"/>
      <c r="H38" s="3" t="s">
        <v>2</v>
      </c>
      <c r="I38" s="33"/>
      <c r="J38" s="34" t="s">
        <v>3</v>
      </c>
      <c r="K38" s="33"/>
      <c r="L38" s="35" t="s">
        <v>4</v>
      </c>
      <c r="M38" s="2" t="str">
        <f>IF(E38="X","",IF(G38="X","",IF(I38="X","",IF(K38="X","","Elegir opción"))))</f>
        <v>Elegir opción</v>
      </c>
      <c r="N38" s="28" t="str">
        <f>IF(E38="X",3,IF(G38="X",2,IF(I38="X",1,IF(K38="X",0,"Promedio"))))</f>
        <v>Promedio</v>
      </c>
    </row>
    <row r="39" spans="2:14" x14ac:dyDescent="0.25">
      <c r="B39" s="116"/>
      <c r="C39" s="109"/>
      <c r="D39" s="36"/>
      <c r="L39" s="30"/>
    </row>
    <row r="40" spans="2:14" x14ac:dyDescent="0.25">
      <c r="B40" s="116"/>
      <c r="C40" s="109"/>
      <c r="D40" s="36"/>
      <c r="L40" s="30"/>
    </row>
    <row r="41" spans="2:14" ht="15.6" thickBot="1" x14ac:dyDescent="0.3">
      <c r="B41" s="117"/>
      <c r="C41" s="110"/>
      <c r="D41" s="37"/>
      <c r="E41" s="38"/>
      <c r="F41" s="38"/>
      <c r="G41" s="38"/>
      <c r="H41" s="38"/>
      <c r="I41" s="38"/>
      <c r="J41" s="38"/>
      <c r="K41" s="38"/>
      <c r="L41" s="39"/>
    </row>
    <row r="42" spans="2:14" ht="8.4" customHeight="1" thickBot="1" x14ac:dyDescent="0.3">
      <c r="B42" s="50"/>
      <c r="C42" s="41"/>
    </row>
    <row r="43" spans="2:14" x14ac:dyDescent="0.25">
      <c r="B43" s="115" t="s">
        <v>222</v>
      </c>
      <c r="C43" s="108" t="s">
        <v>217</v>
      </c>
      <c r="D43" s="22"/>
      <c r="E43" s="23"/>
      <c r="F43" s="24"/>
      <c r="G43" s="25"/>
      <c r="H43" s="25"/>
      <c r="I43" s="25"/>
      <c r="J43" s="25"/>
      <c r="K43" s="25"/>
      <c r="L43" s="26"/>
    </row>
    <row r="44" spans="2:14" ht="15.6" thickBot="1" x14ac:dyDescent="0.3">
      <c r="B44" s="116"/>
      <c r="C44" s="109"/>
      <c r="D44" s="27"/>
      <c r="E44" s="28"/>
      <c r="F44" s="29"/>
      <c r="L44" s="30"/>
    </row>
    <row r="45" spans="2:14" ht="16.2" thickBot="1" x14ac:dyDescent="0.35">
      <c r="B45" s="116"/>
      <c r="C45" s="109"/>
      <c r="D45" s="27"/>
      <c r="E45" s="31"/>
      <c r="F45" s="32" t="s">
        <v>0</v>
      </c>
      <c r="G45" s="33"/>
      <c r="H45" s="3" t="s">
        <v>2</v>
      </c>
      <c r="I45" s="33"/>
      <c r="J45" s="34" t="s">
        <v>3</v>
      </c>
      <c r="K45" s="33"/>
      <c r="L45" s="35" t="s">
        <v>4</v>
      </c>
      <c r="M45" s="2" t="str">
        <f>IF(E45="X","",IF(G45="X","",IF(I45="X","",IF(K45="X","","Elegir opción"))))</f>
        <v>Elegir opción</v>
      </c>
      <c r="N45" s="28" t="str">
        <f>IF(E45="X",3,IF(G45="X",2,IF(I45="X",1,IF(K45="X",0,"Promedio"))))</f>
        <v>Promedio</v>
      </c>
    </row>
    <row r="46" spans="2:14" x14ac:dyDescent="0.25">
      <c r="B46" s="116"/>
      <c r="C46" s="109"/>
      <c r="D46" s="36"/>
      <c r="L46" s="30"/>
    </row>
    <row r="47" spans="2:14" x14ac:dyDescent="0.25">
      <c r="B47" s="116"/>
      <c r="C47" s="109"/>
      <c r="D47" s="36"/>
      <c r="L47" s="30"/>
    </row>
    <row r="48" spans="2:14" ht="15.6" thickBot="1" x14ac:dyDescent="0.3">
      <c r="B48" s="117"/>
      <c r="C48" s="110"/>
      <c r="D48" s="37"/>
      <c r="E48" s="38"/>
      <c r="F48" s="38"/>
      <c r="G48" s="38"/>
      <c r="H48" s="38"/>
      <c r="I48" s="38"/>
      <c r="J48" s="38"/>
      <c r="K48" s="38"/>
      <c r="L48" s="39"/>
    </row>
    <row r="49" spans="2:14" ht="8.4" customHeight="1" thickBot="1" x14ac:dyDescent="0.3">
      <c r="B49" s="50"/>
      <c r="C49" s="41"/>
    </row>
    <row r="50" spans="2:14" x14ac:dyDescent="0.25">
      <c r="B50" s="115" t="s">
        <v>223</v>
      </c>
      <c r="C50" s="108" t="s">
        <v>482</v>
      </c>
      <c r="D50" s="22"/>
      <c r="E50" s="23"/>
      <c r="F50" s="24"/>
      <c r="G50" s="25"/>
      <c r="H50" s="25"/>
      <c r="I50" s="25"/>
      <c r="J50" s="25"/>
      <c r="K50" s="25"/>
      <c r="L50" s="26"/>
    </row>
    <row r="51" spans="2:14" ht="15.6" thickBot="1" x14ac:dyDescent="0.3">
      <c r="B51" s="116"/>
      <c r="C51" s="109"/>
      <c r="D51" s="27"/>
      <c r="E51" s="28"/>
      <c r="F51" s="29"/>
      <c r="L51" s="30"/>
    </row>
    <row r="52" spans="2:14" ht="16.2" thickBot="1" x14ac:dyDescent="0.35">
      <c r="B52" s="116"/>
      <c r="C52" s="109"/>
      <c r="D52" s="27"/>
      <c r="E52" s="31"/>
      <c r="F52" s="32" t="s">
        <v>0</v>
      </c>
      <c r="G52" s="33"/>
      <c r="H52" s="3" t="s">
        <v>2</v>
      </c>
      <c r="I52" s="33"/>
      <c r="J52" s="34" t="s">
        <v>3</v>
      </c>
      <c r="K52" s="33"/>
      <c r="L52" s="35" t="s">
        <v>4</v>
      </c>
      <c r="M52" s="2" t="str">
        <f>IF(E52="X","",IF(G52="X","",IF(I52="X","",IF(K52="X","","Elegir opción"))))</f>
        <v>Elegir opción</v>
      </c>
      <c r="N52" s="28" t="str">
        <f>IF(E52="X",3,IF(G52="X",2,IF(I52="X",1,IF(K52="X",0,"Promedio"))))</f>
        <v>Promedio</v>
      </c>
    </row>
    <row r="53" spans="2:14" x14ac:dyDescent="0.25">
      <c r="B53" s="116"/>
      <c r="C53" s="109"/>
      <c r="D53" s="36"/>
      <c r="L53" s="30"/>
    </row>
    <row r="54" spans="2:14" x14ac:dyDescent="0.25">
      <c r="B54" s="116"/>
      <c r="C54" s="109"/>
      <c r="D54" s="36"/>
      <c r="L54" s="30"/>
    </row>
    <row r="55" spans="2:14" ht="15.6" thickBot="1" x14ac:dyDescent="0.3">
      <c r="B55" s="117"/>
      <c r="C55" s="110"/>
      <c r="D55" s="37"/>
      <c r="E55" s="38"/>
      <c r="F55" s="38"/>
      <c r="G55" s="38"/>
      <c r="H55" s="38"/>
      <c r="I55" s="38"/>
      <c r="J55" s="38"/>
      <c r="K55" s="38"/>
      <c r="L55" s="39"/>
    </row>
    <row r="56" spans="2:14" ht="8.4" customHeight="1" thickBot="1" x14ac:dyDescent="0.3">
      <c r="B56" s="50"/>
    </row>
    <row r="57" spans="2:14" x14ac:dyDescent="0.25">
      <c r="B57" s="115" t="s">
        <v>224</v>
      </c>
      <c r="C57" s="108" t="s">
        <v>218</v>
      </c>
      <c r="D57" s="22"/>
      <c r="E57" s="23"/>
      <c r="F57" s="24"/>
      <c r="G57" s="25"/>
      <c r="H57" s="25"/>
      <c r="I57" s="25"/>
      <c r="J57" s="25"/>
      <c r="K57" s="25"/>
      <c r="L57" s="26"/>
    </row>
    <row r="58" spans="2:14" ht="15.6" thickBot="1" x14ac:dyDescent="0.3">
      <c r="B58" s="116"/>
      <c r="C58" s="109"/>
      <c r="D58" s="27"/>
      <c r="E58" s="28"/>
      <c r="F58" s="29"/>
      <c r="L58" s="30"/>
    </row>
    <row r="59" spans="2:14" ht="16.2" thickBot="1" x14ac:dyDescent="0.35">
      <c r="B59" s="116"/>
      <c r="C59" s="109"/>
      <c r="D59" s="27"/>
      <c r="E59" s="31"/>
      <c r="F59" s="32" t="s">
        <v>0</v>
      </c>
      <c r="G59" s="33"/>
      <c r="H59" s="3" t="s">
        <v>2</v>
      </c>
      <c r="I59" s="33"/>
      <c r="J59" s="34" t="s">
        <v>3</v>
      </c>
      <c r="K59" s="33"/>
      <c r="L59" s="35" t="s">
        <v>4</v>
      </c>
      <c r="M59" s="2" t="str">
        <f>IF(E59="X","",IF(G59="X","",IF(I59="X","",IF(K59="X","","Elegir opción"))))</f>
        <v>Elegir opción</v>
      </c>
      <c r="N59" s="28" t="str">
        <f>IF(E59="X",3,IF(G59="X",2,IF(I59="X",1,IF(K59="X",0,"Promedio"))))</f>
        <v>Promedio</v>
      </c>
    </row>
    <row r="60" spans="2:14" x14ac:dyDescent="0.25">
      <c r="B60" s="116"/>
      <c r="C60" s="109"/>
      <c r="D60" s="36"/>
      <c r="L60" s="30"/>
    </row>
    <row r="61" spans="2:14" x14ac:dyDescent="0.25">
      <c r="B61" s="116"/>
      <c r="C61" s="109"/>
      <c r="D61" s="36"/>
      <c r="L61" s="30"/>
    </row>
    <row r="62" spans="2:14" ht="15.6" thickBot="1" x14ac:dyDescent="0.3">
      <c r="B62" s="117"/>
      <c r="C62" s="110"/>
      <c r="D62" s="37"/>
      <c r="E62" s="38"/>
      <c r="F62" s="38"/>
      <c r="G62" s="38"/>
      <c r="H62" s="38"/>
      <c r="I62" s="38"/>
      <c r="J62" s="38"/>
      <c r="K62" s="38"/>
      <c r="L62" s="39"/>
    </row>
    <row r="63" spans="2:14" x14ac:dyDescent="0.25">
      <c r="B63" s="50"/>
    </row>
    <row r="64" spans="2:14" ht="15.6" x14ac:dyDescent="0.3">
      <c r="B64" s="50"/>
      <c r="E64" s="3"/>
      <c r="F64" s="3"/>
      <c r="G64" s="3"/>
      <c r="H64" s="3"/>
      <c r="I64" s="3"/>
      <c r="J64" s="3"/>
      <c r="K64" s="3"/>
    </row>
    <row r="65" spans="2:14" ht="15.6" x14ac:dyDescent="0.3">
      <c r="B65" s="3" t="s">
        <v>486</v>
      </c>
    </row>
    <row r="66" spans="2:14" ht="15.6" thickBot="1" x14ac:dyDescent="0.3"/>
    <row r="67" spans="2:14" x14ac:dyDescent="0.25">
      <c r="B67" s="115" t="s">
        <v>225</v>
      </c>
      <c r="C67" s="108" t="s">
        <v>210</v>
      </c>
      <c r="D67" s="22"/>
      <c r="E67" s="23"/>
      <c r="F67" s="24"/>
      <c r="G67" s="25"/>
      <c r="H67" s="25"/>
      <c r="I67" s="25"/>
      <c r="J67" s="25"/>
      <c r="K67" s="25"/>
      <c r="L67" s="26"/>
    </row>
    <row r="68" spans="2:14" ht="15.6" thickBot="1" x14ac:dyDescent="0.3">
      <c r="B68" s="116"/>
      <c r="C68" s="109"/>
      <c r="D68" s="27"/>
      <c r="E68" s="28"/>
      <c r="F68" s="29"/>
      <c r="L68" s="30"/>
    </row>
    <row r="69" spans="2:14" ht="16.2" thickBot="1" x14ac:dyDescent="0.35">
      <c r="B69" s="116"/>
      <c r="C69" s="109"/>
      <c r="D69" s="27"/>
      <c r="E69" s="31"/>
      <c r="F69" s="32" t="s">
        <v>0</v>
      </c>
      <c r="G69" s="33"/>
      <c r="H69" s="3" t="s">
        <v>2</v>
      </c>
      <c r="I69" s="33"/>
      <c r="J69" s="34" t="s">
        <v>3</v>
      </c>
      <c r="K69" s="33"/>
      <c r="L69" s="35" t="s">
        <v>4</v>
      </c>
      <c r="M69" s="2" t="str">
        <f>IF(E69="X","",IF(G69="X","",IF(I69="X","",IF(K69="X","","Elegir opción"))))</f>
        <v>Elegir opción</v>
      </c>
      <c r="N69" s="28" t="str">
        <f>IF(E69="X",3,IF(G69="X",2,IF(I69="X",1,IF(K69="X",0,"Promedio"))))</f>
        <v>Promedio</v>
      </c>
    </row>
    <row r="70" spans="2:14" x14ac:dyDescent="0.25">
      <c r="B70" s="116"/>
      <c r="C70" s="109"/>
      <c r="D70" s="36"/>
      <c r="L70" s="30"/>
    </row>
    <row r="71" spans="2:14" x14ac:dyDescent="0.25">
      <c r="B71" s="116"/>
      <c r="C71" s="109"/>
      <c r="D71" s="36"/>
      <c r="L71" s="30"/>
    </row>
    <row r="72" spans="2:14" ht="15.6" thickBot="1" x14ac:dyDescent="0.3">
      <c r="B72" s="117"/>
      <c r="C72" s="110"/>
      <c r="D72" s="37"/>
      <c r="E72" s="38"/>
      <c r="F72" s="38"/>
      <c r="G72" s="38"/>
      <c r="H72" s="38"/>
      <c r="I72" s="38"/>
      <c r="J72" s="38"/>
      <c r="K72" s="38"/>
      <c r="L72" s="39"/>
    </row>
    <row r="73" spans="2:14" ht="8.4" customHeight="1" thickBot="1" x14ac:dyDescent="0.3"/>
    <row r="74" spans="2:14" x14ac:dyDescent="0.25">
      <c r="B74" s="115" t="s">
        <v>226</v>
      </c>
      <c r="C74" s="108" t="s">
        <v>211</v>
      </c>
      <c r="D74" s="22"/>
      <c r="E74" s="23"/>
      <c r="F74" s="24"/>
      <c r="G74" s="25"/>
      <c r="H74" s="25"/>
      <c r="I74" s="25"/>
      <c r="J74" s="25"/>
      <c r="K74" s="25"/>
      <c r="L74" s="26"/>
    </row>
    <row r="75" spans="2:14" ht="15.6" thickBot="1" x14ac:dyDescent="0.3">
      <c r="B75" s="116"/>
      <c r="C75" s="109"/>
      <c r="D75" s="27"/>
      <c r="E75" s="28"/>
      <c r="F75" s="29"/>
      <c r="L75" s="30"/>
    </row>
    <row r="76" spans="2:14" ht="16.2" thickBot="1" x14ac:dyDescent="0.35">
      <c r="B76" s="116"/>
      <c r="C76" s="109"/>
      <c r="D76" s="27"/>
      <c r="E76" s="31"/>
      <c r="F76" s="32" t="s">
        <v>0</v>
      </c>
      <c r="G76" s="33"/>
      <c r="H76" s="3" t="s">
        <v>2</v>
      </c>
      <c r="I76" s="33"/>
      <c r="J76" s="34" t="s">
        <v>3</v>
      </c>
      <c r="K76" s="33"/>
      <c r="L76" s="35" t="s">
        <v>4</v>
      </c>
      <c r="M76" s="2" t="str">
        <f>IF(E76="X","",IF(G76="X","",IF(I76="X","",IF(K76="X","","Elegir opción"))))</f>
        <v>Elegir opción</v>
      </c>
      <c r="N76" s="28" t="str">
        <f>IF(E76="X",3,IF(G76="X",2,IF(I76="X",1,IF(K76="X",0,"Promedio"))))</f>
        <v>Promedio</v>
      </c>
    </row>
    <row r="77" spans="2:14" x14ac:dyDescent="0.25">
      <c r="B77" s="116"/>
      <c r="C77" s="109"/>
      <c r="D77" s="36"/>
      <c r="L77" s="30"/>
    </row>
    <row r="78" spans="2:14" x14ac:dyDescent="0.25">
      <c r="B78" s="116"/>
      <c r="C78" s="109"/>
      <c r="D78" s="36"/>
      <c r="L78" s="30"/>
    </row>
    <row r="79" spans="2:14" ht="15.6" thickBot="1" x14ac:dyDescent="0.3">
      <c r="B79" s="117"/>
      <c r="C79" s="110"/>
      <c r="D79" s="37"/>
      <c r="E79" s="38"/>
      <c r="F79" s="38"/>
      <c r="G79" s="38"/>
      <c r="H79" s="38"/>
      <c r="I79" s="38"/>
      <c r="J79" s="38"/>
      <c r="K79" s="38"/>
      <c r="L79" s="39"/>
    </row>
    <row r="80" spans="2:14" ht="8.4" customHeight="1" thickBot="1" x14ac:dyDescent="0.3"/>
    <row r="81" spans="2:14" x14ac:dyDescent="0.25">
      <c r="B81" s="115" t="s">
        <v>227</v>
      </c>
      <c r="C81" s="108" t="s">
        <v>212</v>
      </c>
      <c r="D81" s="22"/>
      <c r="E81" s="23"/>
      <c r="F81" s="24"/>
      <c r="G81" s="25"/>
      <c r="H81" s="25"/>
      <c r="I81" s="25"/>
      <c r="J81" s="25"/>
      <c r="K81" s="25"/>
      <c r="L81" s="26"/>
    </row>
    <row r="82" spans="2:14" ht="15.6" thickBot="1" x14ac:dyDescent="0.3">
      <c r="B82" s="116"/>
      <c r="C82" s="109"/>
      <c r="D82" s="27"/>
      <c r="E82" s="28"/>
      <c r="F82" s="29"/>
      <c r="L82" s="30"/>
    </row>
    <row r="83" spans="2:14" ht="16.2" thickBot="1" x14ac:dyDescent="0.35">
      <c r="B83" s="116"/>
      <c r="C83" s="109"/>
      <c r="D83" s="27"/>
      <c r="E83" s="31"/>
      <c r="F83" s="32" t="s">
        <v>0</v>
      </c>
      <c r="G83" s="33"/>
      <c r="H83" s="3" t="s">
        <v>2</v>
      </c>
      <c r="I83" s="33"/>
      <c r="J83" s="34" t="s">
        <v>3</v>
      </c>
      <c r="K83" s="33"/>
      <c r="L83" s="35" t="s">
        <v>4</v>
      </c>
      <c r="M83" s="2" t="str">
        <f>IF(E83="X","",IF(G83="X","",IF(I83="X","",IF(K83="X","","Elegir opción"))))</f>
        <v>Elegir opción</v>
      </c>
      <c r="N83" s="28" t="str">
        <f>IF(E83="X",3,IF(G83="X",2,IF(I83="X",1,IF(K83="X",0,"Promedio"))))</f>
        <v>Promedio</v>
      </c>
    </row>
    <row r="84" spans="2:14" x14ac:dyDescent="0.25">
      <c r="B84" s="116"/>
      <c r="C84" s="109"/>
      <c r="D84" s="36"/>
      <c r="L84" s="30"/>
    </row>
    <row r="85" spans="2:14" x14ac:dyDescent="0.25">
      <c r="B85" s="116"/>
      <c r="C85" s="109"/>
      <c r="D85" s="36"/>
      <c r="L85" s="30"/>
    </row>
    <row r="86" spans="2:14" ht="15.6" thickBot="1" x14ac:dyDescent="0.3">
      <c r="B86" s="117"/>
      <c r="C86" s="110"/>
      <c r="D86" s="37"/>
      <c r="E86" s="38"/>
      <c r="F86" s="38"/>
      <c r="G86" s="38"/>
      <c r="H86" s="38"/>
      <c r="I86" s="38"/>
      <c r="J86" s="38"/>
      <c r="K86" s="38"/>
      <c r="L86" s="39"/>
    </row>
    <row r="87" spans="2:14" ht="8.4" customHeight="1" thickBot="1" x14ac:dyDescent="0.3">
      <c r="B87" s="50"/>
      <c r="C87" s="41"/>
    </row>
    <row r="88" spans="2:14" x14ac:dyDescent="0.25">
      <c r="B88" s="115" t="s">
        <v>228</v>
      </c>
      <c r="C88" s="108" t="s">
        <v>483</v>
      </c>
      <c r="D88" s="22"/>
      <c r="E88" s="23"/>
      <c r="F88" s="24"/>
      <c r="G88" s="25"/>
      <c r="H88" s="25"/>
      <c r="I88" s="25"/>
      <c r="J88" s="25"/>
      <c r="K88" s="25"/>
      <c r="L88" s="26"/>
    </row>
    <row r="89" spans="2:14" ht="15.6" thickBot="1" x14ac:dyDescent="0.3">
      <c r="B89" s="116"/>
      <c r="C89" s="109"/>
      <c r="D89" s="27"/>
      <c r="E89" s="28"/>
      <c r="F89" s="29"/>
      <c r="L89" s="30"/>
    </row>
    <row r="90" spans="2:14" ht="16.2" thickBot="1" x14ac:dyDescent="0.35">
      <c r="B90" s="116"/>
      <c r="C90" s="109"/>
      <c r="D90" s="27"/>
      <c r="E90" s="31"/>
      <c r="F90" s="32" t="s">
        <v>0</v>
      </c>
      <c r="G90" s="33"/>
      <c r="H90" s="3" t="s">
        <v>2</v>
      </c>
      <c r="I90" s="33"/>
      <c r="J90" s="34" t="s">
        <v>3</v>
      </c>
      <c r="K90" s="33"/>
      <c r="L90" s="35" t="s">
        <v>4</v>
      </c>
      <c r="M90" s="2" t="str">
        <f>IF(E90="X","",IF(G90="X","",IF(I90="X","",IF(K90="X","","Elegir opción"))))</f>
        <v>Elegir opción</v>
      </c>
      <c r="N90" s="28" t="str">
        <f>IF(E90="X",3,IF(G90="X",2,IF(I90="X",1,IF(K90="X",0,"Promedio"))))</f>
        <v>Promedio</v>
      </c>
    </row>
    <row r="91" spans="2:14" x14ac:dyDescent="0.25">
      <c r="B91" s="116"/>
      <c r="C91" s="109"/>
      <c r="D91" s="36"/>
      <c r="L91" s="30"/>
    </row>
    <row r="92" spans="2:14" x14ac:dyDescent="0.25">
      <c r="B92" s="116"/>
      <c r="C92" s="109"/>
      <c r="D92" s="36"/>
      <c r="L92" s="30"/>
    </row>
    <row r="93" spans="2:14" ht="15.6" thickBot="1" x14ac:dyDescent="0.3">
      <c r="B93" s="117"/>
      <c r="C93" s="110"/>
      <c r="D93" s="37"/>
      <c r="E93" s="38"/>
      <c r="F93" s="38"/>
      <c r="G93" s="38"/>
      <c r="H93" s="38"/>
      <c r="I93" s="38"/>
      <c r="J93" s="38"/>
      <c r="K93" s="38"/>
      <c r="L93" s="39"/>
    </row>
    <row r="94" spans="2:14" ht="8.4" customHeight="1" thickBot="1" x14ac:dyDescent="0.3">
      <c r="B94" s="50"/>
      <c r="C94" s="41"/>
    </row>
    <row r="95" spans="2:14" x14ac:dyDescent="0.25">
      <c r="B95" s="115" t="s">
        <v>229</v>
      </c>
      <c r="C95" s="108" t="s">
        <v>215</v>
      </c>
      <c r="D95" s="22"/>
      <c r="E95" s="23"/>
      <c r="F95" s="24"/>
      <c r="G95" s="25"/>
      <c r="H95" s="25"/>
      <c r="I95" s="25"/>
      <c r="J95" s="25"/>
      <c r="K95" s="25"/>
      <c r="L95" s="26"/>
    </row>
    <row r="96" spans="2:14" ht="15.6" thickBot="1" x14ac:dyDescent="0.3">
      <c r="B96" s="116"/>
      <c r="C96" s="109"/>
      <c r="D96" s="27"/>
      <c r="E96" s="28"/>
      <c r="F96" s="29"/>
      <c r="L96" s="30"/>
    </row>
    <row r="97" spans="2:14" ht="16.2" thickBot="1" x14ac:dyDescent="0.35">
      <c r="B97" s="116"/>
      <c r="C97" s="109"/>
      <c r="D97" s="27"/>
      <c r="E97" s="31"/>
      <c r="F97" s="32" t="s">
        <v>0</v>
      </c>
      <c r="G97" s="33"/>
      <c r="H97" s="3" t="s">
        <v>2</v>
      </c>
      <c r="I97" s="33"/>
      <c r="J97" s="34" t="s">
        <v>3</v>
      </c>
      <c r="K97" s="33"/>
      <c r="L97" s="35" t="s">
        <v>4</v>
      </c>
      <c r="M97" s="2" t="str">
        <f>IF(E97="X","",IF(G97="X","",IF(I97="X","",IF(K97="X","","Elegir opción"))))</f>
        <v>Elegir opción</v>
      </c>
      <c r="N97" s="28" t="str">
        <f>IF(E97="X",3,IF(G97="X",2,IF(I97="X",1,IF(K97="X",0,"Promedio"))))</f>
        <v>Promedio</v>
      </c>
    </row>
    <row r="98" spans="2:14" x14ac:dyDescent="0.25">
      <c r="B98" s="116"/>
      <c r="C98" s="109"/>
      <c r="D98" s="36"/>
      <c r="L98" s="30"/>
    </row>
    <row r="99" spans="2:14" x14ac:dyDescent="0.25">
      <c r="B99" s="116"/>
      <c r="C99" s="109"/>
      <c r="D99" s="36"/>
      <c r="L99" s="30"/>
    </row>
    <row r="100" spans="2:14" ht="15.6" thickBot="1" x14ac:dyDescent="0.3">
      <c r="B100" s="117"/>
      <c r="C100" s="110"/>
      <c r="D100" s="37"/>
      <c r="E100" s="38"/>
      <c r="F100" s="38"/>
      <c r="G100" s="38"/>
      <c r="H100" s="38"/>
      <c r="I100" s="38"/>
      <c r="J100" s="38"/>
      <c r="K100" s="38"/>
      <c r="L100" s="39"/>
    </row>
    <row r="101" spans="2:14" x14ac:dyDescent="0.25">
      <c r="B101" s="50"/>
      <c r="C101" s="41"/>
    </row>
    <row r="102" spans="2:14" ht="15.6" x14ac:dyDescent="0.3">
      <c r="B102" s="50"/>
      <c r="C102" s="41"/>
      <c r="E102" s="3"/>
      <c r="F102" s="3"/>
      <c r="G102" s="3"/>
      <c r="H102" s="3"/>
      <c r="I102" s="3"/>
      <c r="J102" s="3"/>
      <c r="K102" s="3"/>
    </row>
    <row r="103" spans="2:14" ht="15.6" x14ac:dyDescent="0.3">
      <c r="B103" s="3" t="s">
        <v>487</v>
      </c>
    </row>
    <row r="104" spans="2:14" ht="15.6" thickBot="1" x14ac:dyDescent="0.3"/>
    <row r="105" spans="2:14" x14ac:dyDescent="0.25">
      <c r="B105" s="115" t="s">
        <v>230</v>
      </c>
      <c r="C105" s="108" t="s">
        <v>213</v>
      </c>
      <c r="D105" s="22"/>
      <c r="E105" s="23"/>
      <c r="F105" s="24"/>
      <c r="G105" s="25"/>
      <c r="H105" s="25"/>
      <c r="I105" s="25"/>
      <c r="J105" s="25"/>
      <c r="K105" s="25"/>
      <c r="L105" s="26"/>
    </row>
    <row r="106" spans="2:14" ht="15.6" thickBot="1" x14ac:dyDescent="0.3">
      <c r="B106" s="116"/>
      <c r="C106" s="109"/>
      <c r="D106" s="27"/>
      <c r="E106" s="28"/>
      <c r="F106" s="29"/>
      <c r="L106" s="30"/>
    </row>
    <row r="107" spans="2:14" ht="16.2" thickBot="1" x14ac:dyDescent="0.35">
      <c r="B107" s="116"/>
      <c r="C107" s="109"/>
      <c r="D107" s="27"/>
      <c r="E107" s="31"/>
      <c r="F107" s="32" t="s">
        <v>0</v>
      </c>
      <c r="G107" s="33"/>
      <c r="H107" s="3" t="s">
        <v>2</v>
      </c>
      <c r="I107" s="33"/>
      <c r="J107" s="34" t="s">
        <v>3</v>
      </c>
      <c r="K107" s="33"/>
      <c r="L107" s="35" t="s">
        <v>4</v>
      </c>
      <c r="M107" s="2" t="str">
        <f>IF(E107="X","",IF(G107="X","",IF(I107="X","",IF(K107="X","","Elegir opción"))))</f>
        <v>Elegir opción</v>
      </c>
      <c r="N107" s="28" t="str">
        <f>IF(E107="X",3,IF(G107="X",2,IF(I107="X",1,IF(K107="X",0,"Promedio"))))</f>
        <v>Promedio</v>
      </c>
    </row>
    <row r="108" spans="2:14" x14ac:dyDescent="0.25">
      <c r="B108" s="116"/>
      <c r="C108" s="109"/>
      <c r="D108" s="36"/>
      <c r="L108" s="30"/>
    </row>
    <row r="109" spans="2:14" x14ac:dyDescent="0.25">
      <c r="B109" s="116"/>
      <c r="C109" s="109"/>
      <c r="D109" s="36"/>
      <c r="L109" s="30"/>
    </row>
    <row r="110" spans="2:14" ht="15.6" thickBot="1" x14ac:dyDescent="0.3">
      <c r="B110" s="117"/>
      <c r="C110" s="110"/>
      <c r="D110" s="37"/>
      <c r="E110" s="38"/>
      <c r="F110" s="38"/>
      <c r="G110" s="38"/>
      <c r="H110" s="38"/>
      <c r="I110" s="38"/>
      <c r="J110" s="38"/>
      <c r="K110" s="38"/>
      <c r="L110" s="39"/>
    </row>
    <row r="111" spans="2:14" ht="8.4" customHeight="1" thickBot="1" x14ac:dyDescent="0.3"/>
    <row r="112" spans="2:14" x14ac:dyDescent="0.25">
      <c r="B112" s="115" t="s">
        <v>231</v>
      </c>
      <c r="C112" s="108" t="s">
        <v>214</v>
      </c>
      <c r="D112" s="22"/>
      <c r="E112" s="23"/>
      <c r="F112" s="24"/>
      <c r="G112" s="25"/>
      <c r="H112" s="25"/>
      <c r="I112" s="25"/>
      <c r="J112" s="25"/>
      <c r="K112" s="25"/>
      <c r="L112" s="26"/>
    </row>
    <row r="113" spans="2:14" ht="15.6" thickBot="1" x14ac:dyDescent="0.3">
      <c r="B113" s="116"/>
      <c r="C113" s="109"/>
      <c r="D113" s="27"/>
      <c r="E113" s="28"/>
      <c r="F113" s="29"/>
      <c r="L113" s="30"/>
    </row>
    <row r="114" spans="2:14" ht="16.2" thickBot="1" x14ac:dyDescent="0.35">
      <c r="B114" s="116"/>
      <c r="C114" s="109"/>
      <c r="D114" s="27"/>
      <c r="E114" s="31"/>
      <c r="F114" s="32" t="s">
        <v>0</v>
      </c>
      <c r="G114" s="33"/>
      <c r="H114" s="3" t="s">
        <v>2</v>
      </c>
      <c r="I114" s="33"/>
      <c r="J114" s="34" t="s">
        <v>3</v>
      </c>
      <c r="K114" s="33"/>
      <c r="L114" s="35" t="s">
        <v>4</v>
      </c>
      <c r="M114" s="2" t="str">
        <f>IF(E114="X","",IF(G114="X","",IF(I114="X","",IF(K114="X","","Elegir opción"))))</f>
        <v>Elegir opción</v>
      </c>
      <c r="N114" s="28" t="str">
        <f>IF(E114="X",3,IF(G114="X",2,IF(I114="X",1,IF(K114="X",0,"Promedio"))))</f>
        <v>Promedio</v>
      </c>
    </row>
    <row r="115" spans="2:14" x14ac:dyDescent="0.25">
      <c r="B115" s="116"/>
      <c r="C115" s="109"/>
      <c r="D115" s="36"/>
      <c r="L115" s="30"/>
    </row>
    <row r="116" spans="2:14" x14ac:dyDescent="0.25">
      <c r="B116" s="116"/>
      <c r="C116" s="109"/>
      <c r="D116" s="36"/>
      <c r="L116" s="30"/>
    </row>
    <row r="117" spans="2:14" ht="15.6" thickBot="1" x14ac:dyDescent="0.3">
      <c r="B117" s="117"/>
      <c r="C117" s="110"/>
      <c r="D117" s="37"/>
      <c r="E117" s="38"/>
      <c r="F117" s="38"/>
      <c r="G117" s="38"/>
      <c r="H117" s="38"/>
      <c r="I117" s="38"/>
      <c r="J117" s="38"/>
      <c r="K117" s="38"/>
      <c r="L117" s="39"/>
    </row>
    <row r="118" spans="2:14" ht="8.4" customHeight="1" thickBot="1" x14ac:dyDescent="0.3"/>
    <row r="119" spans="2:14" x14ac:dyDescent="0.25">
      <c r="B119" s="115" t="s">
        <v>232</v>
      </c>
      <c r="C119" s="108" t="s">
        <v>485</v>
      </c>
      <c r="D119" s="22"/>
      <c r="E119" s="23"/>
      <c r="F119" s="24"/>
      <c r="G119" s="25"/>
      <c r="H119" s="25"/>
      <c r="I119" s="25"/>
      <c r="J119" s="25"/>
      <c r="K119" s="25"/>
      <c r="L119" s="26"/>
    </row>
    <row r="120" spans="2:14" ht="15.6" thickBot="1" x14ac:dyDescent="0.3">
      <c r="B120" s="116"/>
      <c r="C120" s="109"/>
      <c r="D120" s="27"/>
      <c r="E120" s="28"/>
      <c r="F120" s="29"/>
      <c r="L120" s="30"/>
    </row>
    <row r="121" spans="2:14" ht="16.2" thickBot="1" x14ac:dyDescent="0.35">
      <c r="B121" s="116"/>
      <c r="C121" s="109"/>
      <c r="D121" s="27"/>
      <c r="E121" s="31"/>
      <c r="F121" s="32" t="s">
        <v>0</v>
      </c>
      <c r="G121" s="33"/>
      <c r="H121" s="3" t="s">
        <v>2</v>
      </c>
      <c r="I121" s="33"/>
      <c r="J121" s="34" t="s">
        <v>3</v>
      </c>
      <c r="K121" s="33"/>
      <c r="L121" s="35" t="s">
        <v>4</v>
      </c>
      <c r="M121" s="2" t="str">
        <f>IF(E121="X","",IF(G121="X","",IF(I121="X","",IF(K121="X","","Elegir opción"))))</f>
        <v>Elegir opción</v>
      </c>
      <c r="N121" s="28" t="str">
        <f>IF(E121="X",3,IF(G121="X",2,IF(I121="X",1,IF(K121="X",0,"Promedio"))))</f>
        <v>Promedio</v>
      </c>
    </row>
    <row r="122" spans="2:14" x14ac:dyDescent="0.25">
      <c r="B122" s="116"/>
      <c r="C122" s="109"/>
      <c r="D122" s="36"/>
      <c r="L122" s="30"/>
    </row>
    <row r="123" spans="2:14" x14ac:dyDescent="0.25">
      <c r="B123" s="116"/>
      <c r="C123" s="109"/>
      <c r="D123" s="36"/>
      <c r="L123" s="30"/>
    </row>
    <row r="124" spans="2:14" ht="15.6" thickBot="1" x14ac:dyDescent="0.3">
      <c r="B124" s="117"/>
      <c r="C124" s="110"/>
      <c r="D124" s="37"/>
      <c r="E124" s="38"/>
      <c r="F124" s="38"/>
      <c r="G124" s="38"/>
      <c r="H124" s="38"/>
      <c r="I124" s="38"/>
      <c r="J124" s="38"/>
      <c r="K124" s="38"/>
      <c r="L124" s="39"/>
    </row>
    <row r="126" spans="2:14" x14ac:dyDescent="0.25">
      <c r="D126" s="28"/>
      <c r="E126" s="28"/>
      <c r="F126" s="29"/>
    </row>
    <row r="127" spans="2:14" x14ac:dyDescent="0.25">
      <c r="D127" s="28"/>
      <c r="E127" s="28"/>
      <c r="F127" s="29"/>
    </row>
    <row r="128" spans="2:14" x14ac:dyDescent="0.25">
      <c r="D128" s="28"/>
      <c r="E128" s="28"/>
      <c r="F128" s="29"/>
      <c r="N128" s="28"/>
    </row>
    <row r="133" spans="4:14" x14ac:dyDescent="0.25">
      <c r="D133" s="28"/>
      <c r="E133" s="28"/>
      <c r="F133" s="29"/>
    </row>
    <row r="134" spans="4:14" x14ac:dyDescent="0.25">
      <c r="D134" s="28"/>
      <c r="E134" s="28"/>
      <c r="F134" s="29"/>
    </row>
    <row r="135" spans="4:14" x14ac:dyDescent="0.25">
      <c r="D135" s="28"/>
      <c r="E135" s="28"/>
      <c r="F135" s="29"/>
      <c r="N135" s="28"/>
    </row>
    <row r="140" spans="4:14" x14ac:dyDescent="0.25">
      <c r="D140" s="28"/>
      <c r="E140" s="28"/>
      <c r="F140" s="29"/>
    </row>
    <row r="141" spans="4:14" x14ac:dyDescent="0.25">
      <c r="D141" s="28"/>
      <c r="E141" s="28"/>
      <c r="F141" s="29"/>
    </row>
    <row r="142" spans="4:14" x14ac:dyDescent="0.25">
      <c r="D142" s="28"/>
      <c r="E142" s="28"/>
      <c r="F142" s="29"/>
      <c r="N142" s="28"/>
    </row>
    <row r="147" spans="4:14" x14ac:dyDescent="0.25">
      <c r="D147" s="28"/>
      <c r="E147" s="28"/>
      <c r="F147" s="29"/>
    </row>
    <row r="148" spans="4:14" x14ac:dyDescent="0.25">
      <c r="D148" s="28"/>
      <c r="E148" s="28"/>
      <c r="F148" s="29"/>
    </row>
    <row r="149" spans="4:14" x14ac:dyDescent="0.25">
      <c r="D149" s="28"/>
      <c r="E149" s="28"/>
      <c r="F149" s="29"/>
      <c r="N149" s="28"/>
    </row>
    <row r="154" spans="4:14" x14ac:dyDescent="0.25">
      <c r="D154" s="28"/>
      <c r="E154" s="28"/>
      <c r="F154" s="29"/>
    </row>
    <row r="155" spans="4:14" x14ac:dyDescent="0.25">
      <c r="D155" s="28"/>
      <c r="E155" s="28"/>
      <c r="F155" s="29"/>
    </row>
    <row r="156" spans="4:14" x14ac:dyDescent="0.25">
      <c r="D156" s="28"/>
      <c r="E156" s="28"/>
      <c r="F156" s="29"/>
      <c r="N156" s="28"/>
    </row>
  </sheetData>
  <sheetProtection selectLockedCells="1"/>
  <mergeCells count="32">
    <mergeCell ref="C29:C34"/>
    <mergeCell ref="B95:B100"/>
    <mergeCell ref="B88:B93"/>
    <mergeCell ref="B36:B41"/>
    <mergeCell ref="B43:B48"/>
    <mergeCell ref="B50:B55"/>
    <mergeCell ref="B57:B62"/>
    <mergeCell ref="B29:B34"/>
    <mergeCell ref="B67:B72"/>
    <mergeCell ref="B74:B79"/>
    <mergeCell ref="B81:B86"/>
    <mergeCell ref="C95:C100"/>
    <mergeCell ref="C36:C41"/>
    <mergeCell ref="C43:C48"/>
    <mergeCell ref="C50:C55"/>
    <mergeCell ref="C57:C62"/>
    <mergeCell ref="C8:C13"/>
    <mergeCell ref="B8:B13"/>
    <mergeCell ref="C15:C20"/>
    <mergeCell ref="B15:B20"/>
    <mergeCell ref="C22:C27"/>
    <mergeCell ref="B22:B27"/>
    <mergeCell ref="C67:C72"/>
    <mergeCell ref="C74:C79"/>
    <mergeCell ref="C81:C86"/>
    <mergeCell ref="C88:C93"/>
    <mergeCell ref="C119:C124"/>
    <mergeCell ref="B105:B110"/>
    <mergeCell ref="B112:B117"/>
    <mergeCell ref="B119:B124"/>
    <mergeCell ref="C105:C110"/>
    <mergeCell ref="C112:C117"/>
  </mergeCells>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L26"/>
  <sheetViews>
    <sheetView showGridLines="0" workbookViewId="0">
      <selection activeCell="D25" sqref="D25"/>
    </sheetView>
  </sheetViews>
  <sheetFormatPr baseColWidth="10" defaultColWidth="11.44140625" defaultRowHeight="15" x14ac:dyDescent="0.25"/>
  <cols>
    <col min="1" max="2" width="11.44140625" style="2"/>
    <col min="3" max="3" width="24.6640625" style="2" customWidth="1"/>
    <col min="4" max="4" width="11.44140625" style="2"/>
    <col min="5" max="5" width="28.44140625" style="2" customWidth="1"/>
    <col min="6" max="6" width="11.44140625" style="2"/>
    <col min="7" max="7" width="21.88671875" style="2" bestFit="1" customWidth="1"/>
    <col min="8" max="16384" width="11.44140625" style="2"/>
  </cols>
  <sheetData>
    <row r="2" spans="2:12" ht="17.399999999999999" x14ac:dyDescent="0.3">
      <c r="B2" s="114" t="s">
        <v>498</v>
      </c>
      <c r="C2" s="114"/>
      <c r="D2" s="114"/>
      <c r="E2" s="114"/>
      <c r="F2" s="114"/>
      <c r="G2" s="114"/>
      <c r="H2" s="114"/>
      <c r="I2" s="114"/>
      <c r="J2" s="114"/>
      <c r="K2" s="114"/>
      <c r="L2" s="114"/>
    </row>
    <row r="3" spans="2:12" ht="18" thickBot="1" x14ac:dyDescent="0.35">
      <c r="B3" s="1"/>
    </row>
    <row r="4" spans="2:12" ht="15.6" x14ac:dyDescent="0.3">
      <c r="B4" s="53" t="s">
        <v>17</v>
      </c>
      <c r="C4" s="25"/>
      <c r="D4" s="25"/>
      <c r="E4" s="26"/>
    </row>
    <row r="5" spans="2:12" ht="15.6" thickBot="1" x14ac:dyDescent="0.3">
      <c r="B5" s="36" t="s">
        <v>450</v>
      </c>
      <c r="C5" s="2" t="s">
        <v>496</v>
      </c>
      <c r="E5" s="30"/>
    </row>
    <row r="6" spans="2:12" x14ac:dyDescent="0.25">
      <c r="B6" s="42">
        <v>104</v>
      </c>
      <c r="C6" s="8" t="str">
        <f>'DIAGNOSTICO ENERGIA'!N10</f>
        <v>Promedio</v>
      </c>
      <c r="E6" s="30"/>
      <c r="F6" s="46"/>
      <c r="G6" s="25"/>
      <c r="H6" s="25"/>
      <c r="I6" s="26"/>
    </row>
    <row r="7" spans="2:12" x14ac:dyDescent="0.25">
      <c r="B7" s="42">
        <v>105</v>
      </c>
      <c r="C7" s="51" t="str">
        <f>'DIAGNOSTICO ENERGIA'!N17</f>
        <v>Promedio</v>
      </c>
      <c r="E7" s="30"/>
      <c r="F7" s="36"/>
      <c r="G7" s="8" t="s">
        <v>386</v>
      </c>
      <c r="H7" s="8" t="e">
        <f>SUMIF(C6:C13,"&gt;0",C6:C13)/COUNTIF(C6:C13,"&gt;0")</f>
        <v>#DIV/0!</v>
      </c>
      <c r="I7" s="30"/>
    </row>
    <row r="8" spans="2:12" x14ac:dyDescent="0.25">
      <c r="B8" s="42">
        <v>106</v>
      </c>
      <c r="C8" s="8" t="str">
        <f>'DIAGNOSTICO ENERGIA'!N24</f>
        <v>Promedio</v>
      </c>
      <c r="E8" s="30"/>
      <c r="F8" s="36"/>
      <c r="G8" s="8" t="s">
        <v>387</v>
      </c>
      <c r="H8" s="8" t="e">
        <f>SUMIF(C16:C20,"&gt;0",C16:C20)/COUNTIF(C16:C20,"&gt;0")</f>
        <v>#DIV/0!</v>
      </c>
      <c r="I8" s="30"/>
    </row>
    <row r="9" spans="2:12" x14ac:dyDescent="0.25">
      <c r="B9" s="42">
        <v>107</v>
      </c>
      <c r="C9" s="8" t="str">
        <f>'DIAGNOSTICO ENERGIA'!N31</f>
        <v>Promedio</v>
      </c>
      <c r="E9" s="30"/>
      <c r="F9" s="36"/>
      <c r="G9" s="8" t="s">
        <v>388</v>
      </c>
      <c r="H9" s="8" t="e">
        <f>SUMIF(C23:C25,"&gt;0",C23:C25)/COUNTIF(C23:C25,"&gt;0")</f>
        <v>#DIV/0!</v>
      </c>
      <c r="I9" s="30"/>
    </row>
    <row r="10" spans="2:12" ht="15.6" thickBot="1" x14ac:dyDescent="0.3">
      <c r="B10" s="42">
        <v>108</v>
      </c>
      <c r="C10" s="8" t="str">
        <f>'DIAGNOSTICO ENERGIA'!N38</f>
        <v>Promedio</v>
      </c>
      <c r="E10" s="30"/>
      <c r="F10" s="37"/>
      <c r="G10" s="38"/>
      <c r="H10" s="38"/>
      <c r="I10" s="39"/>
    </row>
    <row r="11" spans="2:12" x14ac:dyDescent="0.25">
      <c r="B11" s="42">
        <v>109</v>
      </c>
      <c r="C11" s="8" t="str">
        <f>'DIAGNOSTICO ENERGIA'!N45</f>
        <v>Promedio</v>
      </c>
      <c r="E11" s="30"/>
      <c r="G11" s="2" t="s">
        <v>498</v>
      </c>
      <c r="H11" s="2" t="e">
        <f>((SUM(H7:H10)/3)*100)/3</f>
        <v>#DIV/0!</v>
      </c>
    </row>
    <row r="12" spans="2:12" x14ac:dyDescent="0.25">
      <c r="B12" s="42">
        <v>110</v>
      </c>
      <c r="C12" s="8" t="str">
        <f>'DIAGNOSTICO ENERGIA'!N52</f>
        <v>Promedio</v>
      </c>
      <c r="E12" s="30"/>
    </row>
    <row r="13" spans="2:12" x14ac:dyDescent="0.25">
      <c r="B13" s="42">
        <v>111</v>
      </c>
      <c r="C13" s="8" t="str">
        <f>'DIAGNOSTICO ENERGIA'!N59</f>
        <v>Promedio</v>
      </c>
      <c r="E13" s="30"/>
    </row>
    <row r="14" spans="2:12" x14ac:dyDescent="0.25">
      <c r="B14" s="36"/>
      <c r="E14" s="30"/>
    </row>
    <row r="15" spans="2:12" ht="15.6" x14ac:dyDescent="0.3">
      <c r="B15" s="69" t="s">
        <v>486</v>
      </c>
      <c r="E15" s="30"/>
    </row>
    <row r="16" spans="2:12" x14ac:dyDescent="0.25">
      <c r="B16" s="42">
        <v>112</v>
      </c>
      <c r="C16" s="8" t="str">
        <f>'DIAGNOSTICO ENERGIA'!N69</f>
        <v>Promedio</v>
      </c>
      <c r="E16" s="30"/>
    </row>
    <row r="17" spans="2:5" x14ac:dyDescent="0.25">
      <c r="B17" s="42">
        <v>113</v>
      </c>
      <c r="C17" s="8" t="str">
        <f>'DIAGNOSTICO ENERGIA'!N76</f>
        <v>Promedio</v>
      </c>
      <c r="E17" s="30"/>
    </row>
    <row r="18" spans="2:5" x14ac:dyDescent="0.25">
      <c r="B18" s="42">
        <v>114</v>
      </c>
      <c r="C18" s="8" t="str">
        <f>'DIAGNOSTICO ENERGIA'!N83</f>
        <v>Promedio</v>
      </c>
      <c r="E18" s="30"/>
    </row>
    <row r="19" spans="2:5" x14ac:dyDescent="0.25">
      <c r="B19" s="42">
        <v>115</v>
      </c>
      <c r="C19" s="8" t="str">
        <f>'DIAGNOSTICO ENERGIA'!N90</f>
        <v>Promedio</v>
      </c>
      <c r="E19" s="30"/>
    </row>
    <row r="20" spans="2:5" x14ac:dyDescent="0.25">
      <c r="B20" s="42">
        <v>116</v>
      </c>
      <c r="C20" s="8" t="str">
        <f>'DIAGNOSTICO ENERGIA'!N97</f>
        <v>Promedio</v>
      </c>
      <c r="E20" s="30"/>
    </row>
    <row r="21" spans="2:5" x14ac:dyDescent="0.25">
      <c r="B21" s="36"/>
      <c r="E21" s="30"/>
    </row>
    <row r="22" spans="2:5" ht="15.6" x14ac:dyDescent="0.3">
      <c r="B22" s="69" t="s">
        <v>484</v>
      </c>
      <c r="E22" s="30"/>
    </row>
    <row r="23" spans="2:5" x14ac:dyDescent="0.25">
      <c r="B23" s="42">
        <v>117</v>
      </c>
      <c r="C23" s="8" t="str">
        <f>'DIAGNOSTICO ENERGIA'!N107</f>
        <v>Promedio</v>
      </c>
      <c r="E23" s="30"/>
    </row>
    <row r="24" spans="2:5" x14ac:dyDescent="0.25">
      <c r="B24" s="42">
        <v>118</v>
      </c>
      <c r="C24" s="8" t="str">
        <f>'DIAGNOSTICO ENERGIA'!N114</f>
        <v>Promedio</v>
      </c>
      <c r="E24" s="30"/>
    </row>
    <row r="25" spans="2:5" x14ac:dyDescent="0.25">
      <c r="B25" s="42">
        <v>119</v>
      </c>
      <c r="C25" s="8" t="str">
        <f>'DIAGNOSTICO ENERGIA'!N121</f>
        <v>Promedio</v>
      </c>
      <c r="E25" s="30"/>
    </row>
    <row r="26" spans="2:5" ht="15.6" thickBot="1" x14ac:dyDescent="0.3">
      <c r="B26" s="37"/>
      <c r="C26" s="38"/>
      <c r="D26" s="38"/>
      <c r="E26" s="39"/>
    </row>
  </sheetData>
  <mergeCells count="1">
    <mergeCell ref="B2:L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N260"/>
  <sheetViews>
    <sheetView showGridLines="0" topLeftCell="A241" zoomScaleNormal="100" workbookViewId="0">
      <selection activeCell="H263" sqref="H263"/>
    </sheetView>
  </sheetViews>
  <sheetFormatPr baseColWidth="10" defaultColWidth="11.44140625" defaultRowHeight="15" x14ac:dyDescent="0.25"/>
  <cols>
    <col min="1" max="2" width="11.44140625" style="2"/>
    <col min="3" max="3" width="28.5546875" style="2" customWidth="1"/>
    <col min="4" max="5" width="2.88671875" style="2" customWidth="1"/>
    <col min="6" max="6" width="6.6640625" style="2" customWidth="1"/>
    <col min="7" max="7" width="3" style="2" customWidth="1"/>
    <col min="8" max="8" width="4.88671875" style="2" customWidth="1"/>
    <col min="9" max="9" width="2.88671875" style="2" customWidth="1"/>
    <col min="10" max="10" width="5.44140625" style="2" customWidth="1"/>
    <col min="11" max="11" width="2.88671875" style="2" customWidth="1"/>
    <col min="12" max="12" width="4.6640625" style="2" customWidth="1"/>
    <col min="13" max="13" width="14.44140625" style="2" bestFit="1" customWidth="1"/>
    <col min="14" max="16" width="11.44140625" style="2"/>
    <col min="17" max="17" width="28.5546875" style="2" customWidth="1"/>
    <col min="18" max="19" width="2.88671875" style="2" customWidth="1"/>
    <col min="20" max="20" width="6.6640625" style="2" customWidth="1"/>
    <col min="21" max="21" width="3" style="2" customWidth="1"/>
    <col min="22" max="22" width="4.88671875" style="2" customWidth="1"/>
    <col min="23" max="23" width="2.88671875" style="2" customWidth="1"/>
    <col min="24" max="24" width="5.44140625" style="2" customWidth="1"/>
    <col min="25" max="25" width="2.88671875" style="2" customWidth="1"/>
    <col min="26" max="26" width="4.6640625" style="2" customWidth="1"/>
    <col min="27" max="27" width="14.44140625" style="2" bestFit="1" customWidth="1"/>
    <col min="28" max="16384" width="11.44140625" style="2"/>
  </cols>
  <sheetData>
    <row r="2" spans="2:14" ht="17.399999999999999" x14ac:dyDescent="0.3">
      <c r="B2" s="2" t="s">
        <v>494</v>
      </c>
    </row>
    <row r="4" spans="2:14" ht="15.6" x14ac:dyDescent="0.3">
      <c r="B4" s="3" t="s">
        <v>579</v>
      </c>
    </row>
    <row r="6" spans="2:14" ht="15.6" x14ac:dyDescent="0.3">
      <c r="E6" s="3">
        <v>3</v>
      </c>
      <c r="F6" s="3"/>
      <c r="G6" s="3">
        <v>2</v>
      </c>
      <c r="H6" s="3"/>
      <c r="I6" s="3">
        <v>1</v>
      </c>
      <c r="J6" s="3"/>
      <c r="K6" s="3">
        <v>0</v>
      </c>
    </row>
    <row r="7" spans="2:14" ht="16.2" thickBot="1" x14ac:dyDescent="0.35">
      <c r="B7" s="3" t="s">
        <v>18</v>
      </c>
    </row>
    <row r="8" spans="2:14" x14ac:dyDescent="0.25">
      <c r="B8" s="115" t="s">
        <v>233</v>
      </c>
      <c r="C8" s="108" t="s">
        <v>580</v>
      </c>
      <c r="D8" s="22"/>
      <c r="E8" s="23"/>
      <c r="F8" s="24"/>
      <c r="G8" s="25"/>
      <c r="H8" s="25"/>
      <c r="I8" s="25"/>
      <c r="J8" s="25"/>
      <c r="K8" s="25"/>
      <c r="L8" s="26"/>
    </row>
    <row r="9" spans="2:14" ht="15.6" thickBot="1" x14ac:dyDescent="0.3">
      <c r="B9" s="116"/>
      <c r="C9" s="109"/>
      <c r="D9" s="27"/>
      <c r="E9" s="28"/>
      <c r="F9" s="29"/>
      <c r="L9" s="30"/>
    </row>
    <row r="10" spans="2:14" ht="16.2" thickBot="1" x14ac:dyDescent="0.35">
      <c r="B10" s="116"/>
      <c r="C10" s="109"/>
      <c r="D10" s="27"/>
      <c r="E10" s="31"/>
      <c r="F10" s="32" t="s">
        <v>0</v>
      </c>
      <c r="G10" s="33"/>
      <c r="H10" s="3" t="s">
        <v>2</v>
      </c>
      <c r="I10" s="33"/>
      <c r="J10" s="34" t="s">
        <v>3</v>
      </c>
      <c r="K10" s="33"/>
      <c r="L10" s="35" t="s">
        <v>4</v>
      </c>
      <c r="M10" s="2" t="str">
        <f>IF(E10="X","",IF(G10="X","",IF(I10="X","",IF(K10="X","","Elegir opción"))))</f>
        <v>Elegir opción</v>
      </c>
      <c r="N10" s="28" t="str">
        <f>IF(E10="X",3,IF(G10="X",2,IF(I10="X",1,IF(K10="X",0,"Promedio"))))</f>
        <v>Promedio</v>
      </c>
    </row>
    <row r="11" spans="2:14" x14ac:dyDescent="0.25">
      <c r="B11" s="116"/>
      <c r="C11" s="109"/>
      <c r="D11" s="36"/>
      <c r="L11" s="30"/>
    </row>
    <row r="12" spans="2:14" x14ac:dyDescent="0.25">
      <c r="B12" s="116"/>
      <c r="C12" s="109"/>
      <c r="D12" s="36"/>
      <c r="L12" s="30"/>
    </row>
    <row r="13" spans="2:14" ht="15.6" thickBot="1" x14ac:dyDescent="0.3">
      <c r="B13" s="117"/>
      <c r="C13" s="110"/>
      <c r="D13" s="37"/>
      <c r="E13" s="38"/>
      <c r="F13" s="38"/>
      <c r="G13" s="38"/>
      <c r="H13" s="38"/>
      <c r="I13" s="38"/>
      <c r="J13" s="38"/>
      <c r="K13" s="38"/>
      <c r="L13" s="39"/>
    </row>
    <row r="14" spans="2:14" ht="8.4" customHeight="1" x14ac:dyDescent="0.25"/>
    <row r="15" spans="2:14" ht="16.2" thickBot="1" x14ac:dyDescent="0.35">
      <c r="B15" s="3" t="s">
        <v>19</v>
      </c>
    </row>
    <row r="16" spans="2:14" x14ac:dyDescent="0.25">
      <c r="B16" s="115" t="s">
        <v>234</v>
      </c>
      <c r="C16" s="108" t="s">
        <v>581</v>
      </c>
      <c r="D16" s="22"/>
      <c r="E16" s="23"/>
      <c r="F16" s="24"/>
      <c r="G16" s="25"/>
      <c r="H16" s="25"/>
      <c r="I16" s="25"/>
      <c r="J16" s="25"/>
      <c r="K16" s="25"/>
      <c r="L16" s="26"/>
    </row>
    <row r="17" spans="2:14" ht="15.6" thickBot="1" x14ac:dyDescent="0.3">
      <c r="B17" s="116"/>
      <c r="C17" s="109"/>
      <c r="D17" s="27"/>
      <c r="E17" s="28"/>
      <c r="F17" s="29"/>
      <c r="L17" s="30"/>
    </row>
    <row r="18" spans="2:14" ht="16.2" thickBot="1" x14ac:dyDescent="0.35">
      <c r="B18" s="116"/>
      <c r="C18" s="109"/>
      <c r="D18" s="27"/>
      <c r="E18" s="31"/>
      <c r="F18" s="32" t="s">
        <v>0</v>
      </c>
      <c r="G18" s="33"/>
      <c r="H18" s="3" t="s">
        <v>2</v>
      </c>
      <c r="I18" s="33"/>
      <c r="J18" s="34" t="s">
        <v>3</v>
      </c>
      <c r="K18" s="33"/>
      <c r="L18" s="35" t="s">
        <v>4</v>
      </c>
      <c r="M18" s="2" t="str">
        <f>IF(E18="X","",IF(G18="X","",IF(I18="X","",IF(K18="X","","Elegir opción"))))</f>
        <v>Elegir opción</v>
      </c>
      <c r="N18" s="28" t="str">
        <f>IF(E18="X",3,IF(G18="X",2,IF(I18="X",1,IF(K18="X",0,"Promedio"))))</f>
        <v>Promedio</v>
      </c>
    </row>
    <row r="19" spans="2:14" x14ac:dyDescent="0.25">
      <c r="B19" s="116"/>
      <c r="C19" s="109"/>
      <c r="D19" s="36"/>
      <c r="L19" s="30"/>
    </row>
    <row r="20" spans="2:14" x14ac:dyDescent="0.25">
      <c r="B20" s="116"/>
      <c r="C20" s="109"/>
      <c r="D20" s="36"/>
      <c r="L20" s="30"/>
    </row>
    <row r="21" spans="2:14" ht="15.6" thickBot="1" x14ac:dyDescent="0.3">
      <c r="B21" s="117"/>
      <c r="C21" s="110"/>
      <c r="D21" s="37"/>
      <c r="E21" s="38"/>
      <c r="F21" s="38"/>
      <c r="G21" s="38"/>
      <c r="H21" s="38"/>
      <c r="I21" s="38"/>
      <c r="J21" s="38"/>
      <c r="K21" s="38"/>
      <c r="L21" s="39"/>
    </row>
    <row r="22" spans="2:14" ht="15.6" thickBot="1" x14ac:dyDescent="0.3"/>
    <row r="23" spans="2:14" x14ac:dyDescent="0.25">
      <c r="B23" s="115" t="s">
        <v>236</v>
      </c>
      <c r="C23" s="108" t="s">
        <v>582</v>
      </c>
      <c r="D23" s="22"/>
      <c r="E23" s="23"/>
      <c r="F23" s="24"/>
      <c r="G23" s="25"/>
      <c r="H23" s="25"/>
      <c r="I23" s="25"/>
      <c r="J23" s="25"/>
      <c r="K23" s="25"/>
      <c r="L23" s="26"/>
    </row>
    <row r="24" spans="2:14" ht="15.6" thickBot="1" x14ac:dyDescent="0.3">
      <c r="B24" s="116"/>
      <c r="C24" s="109"/>
      <c r="D24" s="27"/>
      <c r="E24" s="28"/>
      <c r="F24" s="29"/>
      <c r="L24" s="30"/>
    </row>
    <row r="25" spans="2:14" ht="16.2" thickBot="1" x14ac:dyDescent="0.35">
      <c r="B25" s="116"/>
      <c r="C25" s="109"/>
      <c r="D25" s="27"/>
      <c r="E25" s="31"/>
      <c r="F25" s="32" t="s">
        <v>0</v>
      </c>
      <c r="G25" s="33"/>
      <c r="H25" s="3" t="s">
        <v>2</v>
      </c>
      <c r="I25" s="33"/>
      <c r="J25" s="34" t="s">
        <v>3</v>
      </c>
      <c r="K25" s="33"/>
      <c r="L25" s="35" t="s">
        <v>4</v>
      </c>
      <c r="M25" s="2" t="str">
        <f>IF(E25="X","",IF(G25="X","",IF(I25="X","",IF(K25="X","","Elegir opción"))))</f>
        <v>Elegir opción</v>
      </c>
      <c r="N25" s="28" t="str">
        <f>IF(E25="X",3,IF(G25="X",2,IF(I25="X",1,IF(K25="X",0,"Promedio"))))</f>
        <v>Promedio</v>
      </c>
    </row>
    <row r="26" spans="2:14" x14ac:dyDescent="0.25">
      <c r="B26" s="116"/>
      <c r="C26" s="109"/>
      <c r="D26" s="36"/>
      <c r="L26" s="30"/>
    </row>
    <row r="27" spans="2:14" x14ac:dyDescent="0.25">
      <c r="B27" s="116"/>
      <c r="C27" s="109"/>
      <c r="D27" s="36"/>
      <c r="L27" s="30"/>
    </row>
    <row r="28" spans="2:14" ht="15.6" thickBot="1" x14ac:dyDescent="0.3">
      <c r="B28" s="117"/>
      <c r="C28" s="110"/>
      <c r="D28" s="37"/>
      <c r="E28" s="38"/>
      <c r="F28" s="38"/>
      <c r="G28" s="38"/>
      <c r="H28" s="38"/>
      <c r="I28" s="38"/>
      <c r="J28" s="38"/>
      <c r="K28" s="38"/>
      <c r="L28" s="39"/>
    </row>
    <row r="29" spans="2:14" ht="15.6" thickBot="1" x14ac:dyDescent="0.3"/>
    <row r="30" spans="2:14" x14ac:dyDescent="0.25">
      <c r="B30" s="115" t="s">
        <v>237</v>
      </c>
      <c r="C30" s="108" t="s">
        <v>235</v>
      </c>
      <c r="D30" s="22"/>
      <c r="E30" s="23"/>
      <c r="F30" s="24"/>
      <c r="G30" s="25"/>
      <c r="H30" s="25"/>
      <c r="I30" s="25"/>
      <c r="J30" s="25"/>
      <c r="K30" s="25"/>
      <c r="L30" s="26"/>
    </row>
    <row r="31" spans="2:14" ht="15.6" thickBot="1" x14ac:dyDescent="0.3">
      <c r="B31" s="116"/>
      <c r="C31" s="109"/>
      <c r="D31" s="27"/>
      <c r="E31" s="28"/>
      <c r="F31" s="29"/>
      <c r="L31" s="30"/>
    </row>
    <row r="32" spans="2:14" ht="16.2" thickBot="1" x14ac:dyDescent="0.35">
      <c r="B32" s="116"/>
      <c r="C32" s="109"/>
      <c r="D32" s="27"/>
      <c r="E32" s="31"/>
      <c r="F32" s="32" t="s">
        <v>0</v>
      </c>
      <c r="G32" s="33"/>
      <c r="H32" s="3" t="s">
        <v>2</v>
      </c>
      <c r="I32" s="33"/>
      <c r="J32" s="34" t="s">
        <v>3</v>
      </c>
      <c r="K32" s="33"/>
      <c r="L32" s="35" t="s">
        <v>4</v>
      </c>
      <c r="M32" s="2" t="str">
        <f>IF(E32="X","",IF(G32="X","",IF(I32="X","",IF(K32="X","","Elegir opción"))))</f>
        <v>Elegir opción</v>
      </c>
      <c r="N32" s="28" t="str">
        <f>IF(E32="X",3,IF(G32="X",2,IF(I32="X",1,IF(K32="X",0,"Promedio"))))</f>
        <v>Promedio</v>
      </c>
    </row>
    <row r="33" spans="2:14" x14ac:dyDescent="0.25">
      <c r="B33" s="116"/>
      <c r="C33" s="109"/>
      <c r="D33" s="36"/>
      <c r="L33" s="30"/>
    </row>
    <row r="34" spans="2:14" x14ac:dyDescent="0.25">
      <c r="B34" s="116"/>
      <c r="C34" s="109"/>
      <c r="D34" s="36"/>
      <c r="L34" s="30"/>
    </row>
    <row r="35" spans="2:14" ht="15.6" thickBot="1" x14ac:dyDescent="0.3">
      <c r="B35" s="117"/>
      <c r="C35" s="110"/>
      <c r="D35" s="37"/>
      <c r="E35" s="38"/>
      <c r="F35" s="38"/>
      <c r="G35" s="38"/>
      <c r="H35" s="38"/>
      <c r="I35" s="38"/>
      <c r="J35" s="38"/>
      <c r="K35" s="38"/>
      <c r="L35" s="39"/>
    </row>
    <row r="36" spans="2:14" ht="8.4" customHeight="1" x14ac:dyDescent="0.25"/>
    <row r="38" spans="2:14" ht="15.6" x14ac:dyDescent="0.3">
      <c r="E38" s="3"/>
      <c r="F38" s="3"/>
      <c r="G38" s="3"/>
      <c r="H38" s="3"/>
      <c r="I38" s="3"/>
      <c r="J38" s="3"/>
      <c r="K38" s="3"/>
    </row>
    <row r="39" spans="2:14" ht="16.2" thickBot="1" x14ac:dyDescent="0.35">
      <c r="B39" s="3" t="s">
        <v>436</v>
      </c>
    </row>
    <row r="40" spans="2:14" x14ac:dyDescent="0.25">
      <c r="B40" s="115" t="s">
        <v>261</v>
      </c>
      <c r="C40" s="108" t="s">
        <v>488</v>
      </c>
      <c r="D40" s="22"/>
      <c r="E40" s="23"/>
      <c r="F40" s="24"/>
      <c r="G40" s="25"/>
      <c r="H40" s="25"/>
      <c r="I40" s="25"/>
      <c r="J40" s="25"/>
      <c r="K40" s="25"/>
      <c r="L40" s="26"/>
    </row>
    <row r="41" spans="2:14" ht="31.5" customHeight="1" thickBot="1" x14ac:dyDescent="0.3">
      <c r="B41" s="116"/>
      <c r="C41" s="109"/>
      <c r="D41" s="27"/>
      <c r="E41" s="28"/>
      <c r="F41" s="29"/>
      <c r="L41" s="30"/>
    </row>
    <row r="42" spans="2:14" ht="16.2" thickBot="1" x14ac:dyDescent="0.35">
      <c r="B42" s="116"/>
      <c r="C42" s="109"/>
      <c r="D42" s="27"/>
      <c r="E42" s="31"/>
      <c r="F42" s="32" t="s">
        <v>0</v>
      </c>
      <c r="G42" s="33"/>
      <c r="H42" s="3" t="s">
        <v>2</v>
      </c>
      <c r="I42" s="33"/>
      <c r="J42" s="34" t="s">
        <v>3</v>
      </c>
      <c r="K42" s="33"/>
      <c r="L42" s="35" t="s">
        <v>4</v>
      </c>
      <c r="M42" s="2" t="str">
        <f>IF(E42="X","",IF(G42="X","",IF(I42="X","",IF(K42="X","","Elegir opción"))))</f>
        <v>Elegir opción</v>
      </c>
      <c r="N42" s="28" t="str">
        <f>IF(E42="X",3,IF(G42="X",2,IF(I42="X",1,IF(K42="X",0,"Promedio"))))</f>
        <v>Promedio</v>
      </c>
    </row>
    <row r="43" spans="2:14" x14ac:dyDescent="0.25">
      <c r="B43" s="116"/>
      <c r="C43" s="109"/>
      <c r="D43" s="36"/>
      <c r="L43" s="30"/>
    </row>
    <row r="44" spans="2:14" x14ac:dyDescent="0.25">
      <c r="B44" s="116"/>
      <c r="C44" s="109"/>
      <c r="D44" s="36"/>
      <c r="L44" s="30"/>
    </row>
    <row r="45" spans="2:14" ht="15.6" thickBot="1" x14ac:dyDescent="0.3">
      <c r="B45" s="117"/>
      <c r="C45" s="110"/>
      <c r="D45" s="37"/>
      <c r="E45" s="38"/>
      <c r="F45" s="38"/>
      <c r="G45" s="38"/>
      <c r="H45" s="38"/>
      <c r="I45" s="38"/>
      <c r="J45" s="38"/>
      <c r="K45" s="38"/>
      <c r="L45" s="39"/>
    </row>
    <row r="46" spans="2:14" ht="15.6" thickBot="1" x14ac:dyDescent="0.3"/>
    <row r="47" spans="2:14" x14ac:dyDescent="0.25">
      <c r="B47" s="115" t="s">
        <v>262</v>
      </c>
      <c r="C47" s="108" t="s">
        <v>489</v>
      </c>
      <c r="D47" s="22"/>
      <c r="E47" s="23"/>
      <c r="F47" s="24"/>
      <c r="G47" s="25"/>
      <c r="H47" s="25"/>
      <c r="I47" s="25"/>
      <c r="J47" s="25"/>
      <c r="K47" s="25"/>
      <c r="L47" s="26"/>
    </row>
    <row r="48" spans="2:14" ht="15.6" thickBot="1" x14ac:dyDescent="0.3">
      <c r="B48" s="116"/>
      <c r="C48" s="109"/>
      <c r="D48" s="27"/>
      <c r="E48" s="28"/>
      <c r="F48" s="29"/>
      <c r="L48" s="30"/>
    </row>
    <row r="49" spans="2:14" ht="16.2" thickBot="1" x14ac:dyDescent="0.35">
      <c r="B49" s="116"/>
      <c r="C49" s="109"/>
      <c r="D49" s="27"/>
      <c r="E49" s="31"/>
      <c r="F49" s="32" t="s">
        <v>0</v>
      </c>
      <c r="G49" s="33"/>
      <c r="H49" s="3" t="s">
        <v>2</v>
      </c>
      <c r="I49" s="33"/>
      <c r="J49" s="34" t="s">
        <v>3</v>
      </c>
      <c r="K49" s="33"/>
      <c r="L49" s="35" t="s">
        <v>4</v>
      </c>
      <c r="M49" s="2" t="str">
        <f>IF(E49="X","",IF(G49="X","",IF(I49="X","",IF(K49="X","","Elegir opción"))))</f>
        <v>Elegir opción</v>
      </c>
      <c r="N49" s="28" t="str">
        <f>IF(E49="X",3,IF(G49="X",2,IF(I49="X",1,IF(K49="X",0,"Promedio"))))</f>
        <v>Promedio</v>
      </c>
    </row>
    <row r="50" spans="2:14" x14ac:dyDescent="0.25">
      <c r="B50" s="116"/>
      <c r="C50" s="109"/>
      <c r="D50" s="36"/>
      <c r="L50" s="30"/>
    </row>
    <row r="51" spans="2:14" x14ac:dyDescent="0.25">
      <c r="B51" s="116"/>
      <c r="C51" s="109"/>
      <c r="D51" s="36"/>
      <c r="L51" s="30"/>
    </row>
    <row r="52" spans="2:14" ht="15.6" thickBot="1" x14ac:dyDescent="0.3">
      <c r="B52" s="117"/>
      <c r="C52" s="110"/>
      <c r="D52" s="37"/>
      <c r="E52" s="38"/>
      <c r="F52" s="38"/>
      <c r="G52" s="38"/>
      <c r="H52" s="38"/>
      <c r="I52" s="38"/>
      <c r="J52" s="38"/>
      <c r="K52" s="38"/>
      <c r="L52" s="39"/>
    </row>
    <row r="54" spans="2:14" ht="15.6" x14ac:dyDescent="0.3">
      <c r="E54" s="3"/>
      <c r="F54" s="3"/>
      <c r="G54" s="3"/>
      <c r="H54" s="3"/>
      <c r="I54" s="3"/>
      <c r="J54" s="3"/>
      <c r="K54" s="3"/>
    </row>
    <row r="55" spans="2:14" ht="16.2" thickBot="1" x14ac:dyDescent="0.35">
      <c r="B55" s="3" t="s">
        <v>21</v>
      </c>
    </row>
    <row r="56" spans="2:14" x14ac:dyDescent="0.25">
      <c r="B56" s="115" t="s">
        <v>263</v>
      </c>
      <c r="C56" s="108" t="s">
        <v>238</v>
      </c>
      <c r="D56" s="22"/>
      <c r="E56" s="23"/>
      <c r="F56" s="24"/>
      <c r="G56" s="25"/>
      <c r="H56" s="25"/>
      <c r="I56" s="25"/>
      <c r="J56" s="25"/>
      <c r="K56" s="25"/>
      <c r="L56" s="26"/>
    </row>
    <row r="57" spans="2:14" ht="15.6" thickBot="1" x14ac:dyDescent="0.3">
      <c r="B57" s="116"/>
      <c r="C57" s="109"/>
      <c r="D57" s="27"/>
      <c r="E57" s="28"/>
      <c r="F57" s="29"/>
      <c r="L57" s="30"/>
    </row>
    <row r="58" spans="2:14" ht="16.2" thickBot="1" x14ac:dyDescent="0.35">
      <c r="B58" s="116"/>
      <c r="C58" s="109"/>
      <c r="D58" s="27"/>
      <c r="E58" s="31"/>
      <c r="F58" s="32" t="s">
        <v>0</v>
      </c>
      <c r="G58" s="33"/>
      <c r="H58" s="3" t="s">
        <v>2</v>
      </c>
      <c r="I58" s="33"/>
      <c r="J58" s="34" t="s">
        <v>3</v>
      </c>
      <c r="K58" s="33"/>
      <c r="L58" s="35" t="s">
        <v>4</v>
      </c>
      <c r="M58" s="2" t="str">
        <f>IF(E58="X","",IF(G58="X","",IF(I58="X","",IF(K58="X","","Elegir opción"))))</f>
        <v>Elegir opción</v>
      </c>
      <c r="N58" s="28" t="str">
        <f>IF(E58="X",3,IF(G58="X",2,IF(I58="X",1,IF(K58="X",0,"Promedio"))))</f>
        <v>Promedio</v>
      </c>
    </row>
    <row r="59" spans="2:14" x14ac:dyDescent="0.25">
      <c r="B59" s="116"/>
      <c r="C59" s="109"/>
      <c r="D59" s="36"/>
      <c r="L59" s="30"/>
    </row>
    <row r="60" spans="2:14" x14ac:dyDescent="0.25">
      <c r="B60" s="116"/>
      <c r="C60" s="109"/>
      <c r="D60" s="36"/>
      <c r="L60" s="30"/>
    </row>
    <row r="61" spans="2:14" ht="15.6" thickBot="1" x14ac:dyDescent="0.3">
      <c r="B61" s="117"/>
      <c r="C61" s="110"/>
      <c r="D61" s="37"/>
      <c r="E61" s="38"/>
      <c r="F61" s="38"/>
      <c r="G61" s="38"/>
      <c r="H61" s="38"/>
      <c r="I61" s="38"/>
      <c r="J61" s="38"/>
      <c r="K61" s="38"/>
      <c r="L61" s="39"/>
    </row>
    <row r="62" spans="2:14" ht="15.6" thickBot="1" x14ac:dyDescent="0.3"/>
    <row r="63" spans="2:14" x14ac:dyDescent="0.25">
      <c r="B63" s="115" t="s">
        <v>264</v>
      </c>
      <c r="C63" s="108" t="s">
        <v>239</v>
      </c>
      <c r="D63" s="22"/>
      <c r="E63" s="23"/>
      <c r="F63" s="24"/>
      <c r="G63" s="25"/>
      <c r="H63" s="25"/>
      <c r="I63" s="25"/>
      <c r="J63" s="25"/>
      <c r="K63" s="25"/>
      <c r="L63" s="26"/>
    </row>
    <row r="64" spans="2:14" ht="15.6" thickBot="1" x14ac:dyDescent="0.3">
      <c r="B64" s="116"/>
      <c r="C64" s="109"/>
      <c r="D64" s="27"/>
      <c r="E64" s="28"/>
      <c r="F64" s="29"/>
      <c r="L64" s="30"/>
    </row>
    <row r="65" spans="2:14" ht="16.2" thickBot="1" x14ac:dyDescent="0.35">
      <c r="B65" s="116"/>
      <c r="C65" s="109"/>
      <c r="D65" s="27"/>
      <c r="E65" s="31"/>
      <c r="F65" s="32" t="s">
        <v>0</v>
      </c>
      <c r="G65" s="33"/>
      <c r="H65" s="3" t="s">
        <v>2</v>
      </c>
      <c r="I65" s="33"/>
      <c r="J65" s="34" t="s">
        <v>3</v>
      </c>
      <c r="K65" s="33"/>
      <c r="L65" s="35" t="s">
        <v>4</v>
      </c>
      <c r="M65" s="2" t="str">
        <f>IF(E65="X","",IF(G65="X","",IF(I65="X","",IF(K65="X","","Elegir opción"))))</f>
        <v>Elegir opción</v>
      </c>
      <c r="N65" s="28" t="str">
        <f>IF(E65="X",3,IF(G65="X",2,IF(I65="X",1,IF(K65="X",0,"Promedio"))))</f>
        <v>Promedio</v>
      </c>
    </row>
    <row r="66" spans="2:14" x14ac:dyDescent="0.25">
      <c r="B66" s="116"/>
      <c r="C66" s="109"/>
      <c r="D66" s="36"/>
      <c r="L66" s="30"/>
    </row>
    <row r="67" spans="2:14" x14ac:dyDescent="0.25">
      <c r="B67" s="116"/>
      <c r="C67" s="109"/>
      <c r="D67" s="36"/>
      <c r="L67" s="30"/>
    </row>
    <row r="68" spans="2:14" ht="15.6" thickBot="1" x14ac:dyDescent="0.3">
      <c r="B68" s="117"/>
      <c r="C68" s="110"/>
      <c r="D68" s="37"/>
      <c r="E68" s="38"/>
      <c r="F68" s="38"/>
      <c r="G68" s="38"/>
      <c r="H68" s="38"/>
      <c r="I68" s="38"/>
      <c r="J68" s="38"/>
      <c r="K68" s="38"/>
      <c r="L68" s="39"/>
    </row>
    <row r="69" spans="2:14" ht="15.6" thickBot="1" x14ac:dyDescent="0.3"/>
    <row r="70" spans="2:14" x14ac:dyDescent="0.25">
      <c r="B70" s="115" t="s">
        <v>265</v>
      </c>
      <c r="C70" s="108" t="s">
        <v>240</v>
      </c>
      <c r="D70" s="22"/>
      <c r="E70" s="23"/>
      <c r="F70" s="24"/>
      <c r="G70" s="25"/>
      <c r="H70" s="25"/>
      <c r="I70" s="25"/>
      <c r="J70" s="25"/>
      <c r="K70" s="25"/>
      <c r="L70" s="26"/>
    </row>
    <row r="71" spans="2:14" ht="15.6" thickBot="1" x14ac:dyDescent="0.3">
      <c r="B71" s="116"/>
      <c r="C71" s="109"/>
      <c r="D71" s="27"/>
      <c r="E71" s="28"/>
      <c r="F71" s="29"/>
      <c r="L71" s="30"/>
    </row>
    <row r="72" spans="2:14" ht="16.2" thickBot="1" x14ac:dyDescent="0.35">
      <c r="B72" s="116"/>
      <c r="C72" s="109"/>
      <c r="D72" s="27"/>
      <c r="E72" s="31"/>
      <c r="F72" s="32" t="s">
        <v>0</v>
      </c>
      <c r="G72" s="33"/>
      <c r="H72" s="3" t="s">
        <v>2</v>
      </c>
      <c r="I72" s="33"/>
      <c r="J72" s="34" t="s">
        <v>3</v>
      </c>
      <c r="K72" s="33"/>
      <c r="L72" s="35" t="s">
        <v>4</v>
      </c>
      <c r="M72" s="2" t="str">
        <f>IF(E72="X","",IF(G72="X","",IF(I72="X","",IF(K72="X","","Elegir opción"))))</f>
        <v>Elegir opción</v>
      </c>
      <c r="N72" s="28" t="str">
        <f>IF(E72="X",3,IF(G72="X",2,IF(I72="X",1,IF(K72="X",0,"Promedio"))))</f>
        <v>Promedio</v>
      </c>
    </row>
    <row r="73" spans="2:14" x14ac:dyDescent="0.25">
      <c r="B73" s="116"/>
      <c r="C73" s="109"/>
      <c r="D73" s="36"/>
      <c r="L73" s="30"/>
    </row>
    <row r="74" spans="2:14" x14ac:dyDescent="0.25">
      <c r="B74" s="116"/>
      <c r="C74" s="109"/>
      <c r="D74" s="36"/>
      <c r="L74" s="30"/>
    </row>
    <row r="75" spans="2:14" ht="15.6" thickBot="1" x14ac:dyDescent="0.3">
      <c r="B75" s="117"/>
      <c r="C75" s="110"/>
      <c r="D75" s="37"/>
      <c r="E75" s="38"/>
      <c r="F75" s="38"/>
      <c r="G75" s="38"/>
      <c r="H75" s="38"/>
      <c r="I75" s="38"/>
      <c r="J75" s="38"/>
      <c r="K75" s="38"/>
      <c r="L75" s="39"/>
    </row>
    <row r="76" spans="2:14" ht="15.6" thickBot="1" x14ac:dyDescent="0.3"/>
    <row r="77" spans="2:14" x14ac:dyDescent="0.25">
      <c r="B77" s="115" t="s">
        <v>266</v>
      </c>
      <c r="C77" s="108" t="s">
        <v>490</v>
      </c>
      <c r="D77" s="22"/>
      <c r="E77" s="23"/>
      <c r="F77" s="24"/>
      <c r="G77" s="25"/>
      <c r="H77" s="25"/>
      <c r="I77" s="25"/>
      <c r="J77" s="25"/>
      <c r="K77" s="25"/>
      <c r="L77" s="26"/>
    </row>
    <row r="78" spans="2:14" ht="15.6" thickBot="1" x14ac:dyDescent="0.3">
      <c r="B78" s="116"/>
      <c r="C78" s="109"/>
      <c r="D78" s="27"/>
      <c r="E78" s="28"/>
      <c r="F78" s="29"/>
      <c r="L78" s="30"/>
    </row>
    <row r="79" spans="2:14" ht="16.2" thickBot="1" x14ac:dyDescent="0.35">
      <c r="B79" s="116"/>
      <c r="C79" s="109"/>
      <c r="D79" s="27"/>
      <c r="E79" s="31"/>
      <c r="F79" s="32" t="s">
        <v>0</v>
      </c>
      <c r="G79" s="33"/>
      <c r="H79" s="3" t="s">
        <v>2</v>
      </c>
      <c r="I79" s="33"/>
      <c r="J79" s="34" t="s">
        <v>3</v>
      </c>
      <c r="K79" s="33"/>
      <c r="L79" s="35" t="s">
        <v>4</v>
      </c>
      <c r="M79" s="2" t="str">
        <f>IF(E79="X","",IF(G79="X","",IF(I79="X","",IF(K79="X","","Elegir opción"))))</f>
        <v>Elegir opción</v>
      </c>
      <c r="N79" s="28" t="str">
        <f>IF(E79="X",3,IF(G79="X",2,IF(I79="X",1,IF(K79="X",0,"Promedio"))))</f>
        <v>Promedio</v>
      </c>
    </row>
    <row r="80" spans="2:14" x14ac:dyDescent="0.25">
      <c r="B80" s="116"/>
      <c r="C80" s="109"/>
      <c r="D80" s="36"/>
      <c r="L80" s="30"/>
    </row>
    <row r="81" spans="2:14" x14ac:dyDescent="0.25">
      <c r="B81" s="116"/>
      <c r="C81" s="109"/>
      <c r="D81" s="36"/>
      <c r="L81" s="30"/>
    </row>
    <row r="82" spans="2:14" ht="15.6" thickBot="1" x14ac:dyDescent="0.3">
      <c r="B82" s="117"/>
      <c r="C82" s="110"/>
      <c r="D82" s="37"/>
      <c r="E82" s="38"/>
      <c r="F82" s="38"/>
      <c r="G82" s="38"/>
      <c r="H82" s="38"/>
      <c r="I82" s="38"/>
      <c r="J82" s="38"/>
      <c r="K82" s="38"/>
      <c r="L82" s="39"/>
    </row>
    <row r="83" spans="2:14" ht="15.6" thickBot="1" x14ac:dyDescent="0.3"/>
    <row r="84" spans="2:14" x14ac:dyDescent="0.25">
      <c r="B84" s="115" t="s">
        <v>267</v>
      </c>
      <c r="C84" s="108" t="s">
        <v>241</v>
      </c>
      <c r="D84" s="22"/>
      <c r="E84" s="23"/>
      <c r="F84" s="24"/>
      <c r="G84" s="25"/>
      <c r="H84" s="25"/>
      <c r="I84" s="25"/>
      <c r="J84" s="25"/>
      <c r="K84" s="25"/>
      <c r="L84" s="26"/>
    </row>
    <row r="85" spans="2:14" ht="15.6" thickBot="1" x14ac:dyDescent="0.3">
      <c r="B85" s="116"/>
      <c r="C85" s="109"/>
      <c r="D85" s="27"/>
      <c r="E85" s="28"/>
      <c r="F85" s="29"/>
      <c r="L85" s="30"/>
    </row>
    <row r="86" spans="2:14" ht="16.2" thickBot="1" x14ac:dyDescent="0.35">
      <c r="B86" s="116"/>
      <c r="C86" s="109"/>
      <c r="D86" s="27"/>
      <c r="E86" s="31"/>
      <c r="F86" s="32" t="s">
        <v>0</v>
      </c>
      <c r="G86" s="33"/>
      <c r="H86" s="3" t="s">
        <v>2</v>
      </c>
      <c r="I86" s="33"/>
      <c r="J86" s="34" t="s">
        <v>3</v>
      </c>
      <c r="K86" s="33"/>
      <c r="L86" s="35" t="s">
        <v>4</v>
      </c>
      <c r="M86" s="2" t="str">
        <f>IF(E86="X","",IF(G86="X","",IF(I86="X","",IF(K86="X","","Elegir opción"))))</f>
        <v>Elegir opción</v>
      </c>
      <c r="N86" s="28" t="str">
        <f>IF(E86="X",3,IF(G86="X",2,IF(I86="X",1,IF(K86="X",0,"Promedio"))))</f>
        <v>Promedio</v>
      </c>
    </row>
    <row r="87" spans="2:14" x14ac:dyDescent="0.25">
      <c r="B87" s="116"/>
      <c r="C87" s="109"/>
      <c r="D87" s="36"/>
      <c r="L87" s="30"/>
    </row>
    <row r="88" spans="2:14" x14ac:dyDescent="0.25">
      <c r="B88" s="116"/>
      <c r="C88" s="109"/>
      <c r="D88" s="36"/>
      <c r="L88" s="30"/>
    </row>
    <row r="89" spans="2:14" ht="15.6" thickBot="1" x14ac:dyDescent="0.3">
      <c r="B89" s="117"/>
      <c r="C89" s="110"/>
      <c r="D89" s="37"/>
      <c r="E89" s="38"/>
      <c r="F89" s="38"/>
      <c r="G89" s="38"/>
      <c r="H89" s="38"/>
      <c r="I89" s="38"/>
      <c r="J89" s="38"/>
      <c r="K89" s="38"/>
      <c r="L89" s="39"/>
    </row>
    <row r="91" spans="2:14" ht="15.6" x14ac:dyDescent="0.3">
      <c r="E91" s="3"/>
      <c r="F91" s="3"/>
      <c r="G91" s="3"/>
      <c r="H91" s="3"/>
      <c r="I91" s="3"/>
      <c r="J91" s="3"/>
      <c r="K91" s="3"/>
    </row>
    <row r="92" spans="2:14" ht="16.2" thickBot="1" x14ac:dyDescent="0.35">
      <c r="B92" s="3" t="s">
        <v>22</v>
      </c>
    </row>
    <row r="93" spans="2:14" x14ac:dyDescent="0.25">
      <c r="B93" s="115" t="s">
        <v>268</v>
      </c>
      <c r="C93" s="108" t="s">
        <v>242</v>
      </c>
      <c r="D93" s="22"/>
      <c r="E93" s="23"/>
      <c r="F93" s="24"/>
      <c r="G93" s="25"/>
      <c r="H93" s="25"/>
      <c r="I93" s="25"/>
      <c r="J93" s="25"/>
      <c r="K93" s="25"/>
      <c r="L93" s="26"/>
    </row>
    <row r="94" spans="2:14" ht="15.6" thickBot="1" x14ac:dyDescent="0.3">
      <c r="B94" s="116"/>
      <c r="C94" s="109"/>
      <c r="D94" s="27"/>
      <c r="E94" s="28"/>
      <c r="F94" s="29"/>
      <c r="L94" s="30"/>
    </row>
    <row r="95" spans="2:14" ht="16.2" thickBot="1" x14ac:dyDescent="0.35">
      <c r="B95" s="116"/>
      <c r="C95" s="109"/>
      <c r="D95" s="27"/>
      <c r="E95" s="31"/>
      <c r="F95" s="32" t="s">
        <v>0</v>
      </c>
      <c r="G95" s="33"/>
      <c r="H95" s="3" t="s">
        <v>2</v>
      </c>
      <c r="I95" s="33"/>
      <c r="J95" s="34" t="s">
        <v>3</v>
      </c>
      <c r="K95" s="33"/>
      <c r="L95" s="35" t="s">
        <v>4</v>
      </c>
      <c r="M95" s="2" t="str">
        <f>IF(E95="X","",IF(G95="X","",IF(I95="X","",IF(K95="X","","Elegir opción"))))</f>
        <v>Elegir opción</v>
      </c>
      <c r="N95" s="28" t="str">
        <f>IF(E95="X",3,IF(G95="X",2,IF(I95="X",1,IF(K95="X",0,"Promedio"))))</f>
        <v>Promedio</v>
      </c>
    </row>
    <row r="96" spans="2:14" x14ac:dyDescent="0.25">
      <c r="B96" s="116"/>
      <c r="C96" s="109"/>
      <c r="D96" s="36"/>
      <c r="L96" s="30"/>
    </row>
    <row r="97" spans="2:14" x14ac:dyDescent="0.25">
      <c r="B97" s="116"/>
      <c r="C97" s="109"/>
      <c r="D97" s="36"/>
      <c r="L97" s="30"/>
    </row>
    <row r="98" spans="2:14" ht="15.6" thickBot="1" x14ac:dyDescent="0.3">
      <c r="B98" s="117"/>
      <c r="C98" s="110"/>
      <c r="D98" s="37"/>
      <c r="E98" s="38"/>
      <c r="F98" s="38"/>
      <c r="G98" s="38"/>
      <c r="H98" s="38"/>
      <c r="I98" s="38"/>
      <c r="J98" s="38"/>
      <c r="K98" s="38"/>
      <c r="L98" s="39"/>
    </row>
    <row r="99" spans="2:14" ht="15.6" thickBot="1" x14ac:dyDescent="0.3"/>
    <row r="100" spans="2:14" x14ac:dyDescent="0.25">
      <c r="B100" s="115" t="s">
        <v>269</v>
      </c>
      <c r="C100" s="108" t="s">
        <v>243</v>
      </c>
      <c r="D100" s="22"/>
      <c r="E100" s="23"/>
      <c r="F100" s="24"/>
      <c r="G100" s="25"/>
      <c r="H100" s="25"/>
      <c r="I100" s="25"/>
      <c r="J100" s="25"/>
      <c r="K100" s="25"/>
      <c r="L100" s="26"/>
    </row>
    <row r="101" spans="2:14" ht="15.6" thickBot="1" x14ac:dyDescent="0.3">
      <c r="B101" s="116"/>
      <c r="C101" s="109"/>
      <c r="D101" s="27"/>
      <c r="E101" s="28"/>
      <c r="F101" s="29"/>
      <c r="L101" s="30"/>
    </row>
    <row r="102" spans="2:14" ht="16.2" thickBot="1" x14ac:dyDescent="0.35">
      <c r="B102" s="116"/>
      <c r="C102" s="109"/>
      <c r="D102" s="27"/>
      <c r="E102" s="31"/>
      <c r="F102" s="32" t="s">
        <v>0</v>
      </c>
      <c r="G102" s="33"/>
      <c r="H102" s="3" t="s">
        <v>2</v>
      </c>
      <c r="I102" s="33"/>
      <c r="J102" s="34" t="s">
        <v>3</v>
      </c>
      <c r="K102" s="33"/>
      <c r="L102" s="35" t="s">
        <v>4</v>
      </c>
      <c r="M102" s="2" t="str">
        <f>IF(E102="X","",IF(G102="X","",IF(I102="X","",IF(K102="X","","Elegir opción"))))</f>
        <v>Elegir opción</v>
      </c>
      <c r="N102" s="28" t="str">
        <f>IF(E102="X",3,IF(G102="X",2,IF(I102="X",1,IF(K102="X",0,"Promedio"))))</f>
        <v>Promedio</v>
      </c>
    </row>
    <row r="103" spans="2:14" x14ac:dyDescent="0.25">
      <c r="B103" s="116"/>
      <c r="C103" s="109"/>
      <c r="D103" s="36"/>
      <c r="L103" s="30"/>
    </row>
    <row r="104" spans="2:14" x14ac:dyDescent="0.25">
      <c r="B104" s="116"/>
      <c r="C104" s="109"/>
      <c r="D104" s="36"/>
      <c r="L104" s="30"/>
    </row>
    <row r="105" spans="2:14" ht="15.6" thickBot="1" x14ac:dyDescent="0.3">
      <c r="B105" s="117"/>
      <c r="C105" s="110"/>
      <c r="D105" s="37"/>
      <c r="E105" s="38"/>
      <c r="F105" s="38"/>
      <c r="G105" s="38"/>
      <c r="H105" s="38"/>
      <c r="I105" s="38"/>
      <c r="J105" s="38"/>
      <c r="K105" s="38"/>
      <c r="L105" s="39"/>
    </row>
    <row r="106" spans="2:14" ht="15.6" thickBot="1" x14ac:dyDescent="0.3"/>
    <row r="107" spans="2:14" x14ac:dyDescent="0.25">
      <c r="B107" s="115" t="s">
        <v>270</v>
      </c>
      <c r="C107" s="108" t="s">
        <v>240</v>
      </c>
      <c r="D107" s="22"/>
      <c r="E107" s="23"/>
      <c r="F107" s="24"/>
      <c r="G107" s="25"/>
      <c r="H107" s="25"/>
      <c r="I107" s="25"/>
      <c r="J107" s="25"/>
      <c r="K107" s="25"/>
      <c r="L107" s="26"/>
    </row>
    <row r="108" spans="2:14" ht="15.6" thickBot="1" x14ac:dyDescent="0.3">
      <c r="B108" s="116"/>
      <c r="C108" s="109"/>
      <c r="D108" s="27"/>
      <c r="E108" s="28"/>
      <c r="F108" s="29"/>
      <c r="L108" s="30"/>
    </row>
    <row r="109" spans="2:14" ht="16.2" thickBot="1" x14ac:dyDescent="0.35">
      <c r="B109" s="116"/>
      <c r="C109" s="109"/>
      <c r="D109" s="27"/>
      <c r="E109" s="31"/>
      <c r="F109" s="32" t="s">
        <v>0</v>
      </c>
      <c r="G109" s="33"/>
      <c r="H109" s="3" t="s">
        <v>2</v>
      </c>
      <c r="I109" s="33"/>
      <c r="J109" s="34" t="s">
        <v>3</v>
      </c>
      <c r="K109" s="33"/>
      <c r="L109" s="35" t="s">
        <v>4</v>
      </c>
      <c r="M109" s="2" t="str">
        <f>IF(E109="X","",IF(G109="X","",IF(I109="X","",IF(K109="X","","Elegir opción"))))</f>
        <v>Elegir opción</v>
      </c>
      <c r="N109" s="28" t="str">
        <f>IF(E109="X",3,IF(G109="X",2,IF(I109="X",1,IF(K109="X",0,"Promedio"))))</f>
        <v>Promedio</v>
      </c>
    </row>
    <row r="110" spans="2:14" x14ac:dyDescent="0.25">
      <c r="B110" s="116"/>
      <c r="C110" s="109"/>
      <c r="D110" s="36"/>
      <c r="L110" s="30"/>
    </row>
    <row r="111" spans="2:14" x14ac:dyDescent="0.25">
      <c r="B111" s="116"/>
      <c r="C111" s="109"/>
      <c r="D111" s="36"/>
      <c r="L111" s="30"/>
    </row>
    <row r="112" spans="2:14" ht="15.6" thickBot="1" x14ac:dyDescent="0.3">
      <c r="B112" s="117"/>
      <c r="C112" s="110"/>
      <c r="D112" s="37"/>
      <c r="E112" s="38"/>
      <c r="F112" s="38"/>
      <c r="G112" s="38"/>
      <c r="H112" s="38"/>
      <c r="I112" s="38"/>
      <c r="J112" s="38"/>
      <c r="K112" s="38"/>
      <c r="L112" s="39"/>
    </row>
    <row r="113" spans="2:14" ht="15.6" thickBot="1" x14ac:dyDescent="0.3"/>
    <row r="114" spans="2:14" x14ac:dyDescent="0.25">
      <c r="B114" s="115" t="s">
        <v>271</v>
      </c>
      <c r="C114" s="108" t="s">
        <v>244</v>
      </c>
      <c r="D114" s="22"/>
      <c r="E114" s="23"/>
      <c r="F114" s="24"/>
      <c r="G114" s="25"/>
      <c r="H114" s="25"/>
      <c r="I114" s="25"/>
      <c r="J114" s="25"/>
      <c r="K114" s="25"/>
      <c r="L114" s="26"/>
    </row>
    <row r="115" spans="2:14" ht="15.6" thickBot="1" x14ac:dyDescent="0.3">
      <c r="B115" s="116"/>
      <c r="C115" s="109"/>
      <c r="D115" s="27"/>
      <c r="E115" s="28"/>
      <c r="F115" s="29"/>
      <c r="L115" s="30"/>
    </row>
    <row r="116" spans="2:14" ht="16.2" thickBot="1" x14ac:dyDescent="0.35">
      <c r="B116" s="116"/>
      <c r="C116" s="109"/>
      <c r="D116" s="27"/>
      <c r="E116" s="31"/>
      <c r="F116" s="32" t="s">
        <v>0</v>
      </c>
      <c r="G116" s="33"/>
      <c r="H116" s="3" t="s">
        <v>2</v>
      </c>
      <c r="I116" s="33"/>
      <c r="J116" s="34" t="s">
        <v>3</v>
      </c>
      <c r="K116" s="33"/>
      <c r="L116" s="35" t="s">
        <v>4</v>
      </c>
      <c r="M116" s="2" t="str">
        <f>IF(E116="X","",IF(G116="X","",IF(I116="X","",IF(K116="X","","Elegir opción"))))</f>
        <v>Elegir opción</v>
      </c>
      <c r="N116" s="28" t="str">
        <f>IF(E116="X",3,IF(G116="X",2,IF(I116="X",1,IF(K116="X",0,"Promedio"))))</f>
        <v>Promedio</v>
      </c>
    </row>
    <row r="117" spans="2:14" x14ac:dyDescent="0.25">
      <c r="B117" s="116"/>
      <c r="C117" s="109"/>
      <c r="D117" s="36"/>
      <c r="L117" s="30"/>
    </row>
    <row r="118" spans="2:14" x14ac:dyDescent="0.25">
      <c r="B118" s="116"/>
      <c r="C118" s="109"/>
      <c r="D118" s="36"/>
      <c r="L118" s="30"/>
    </row>
    <row r="119" spans="2:14" ht="15.6" thickBot="1" x14ac:dyDescent="0.3">
      <c r="B119" s="117"/>
      <c r="C119" s="110"/>
      <c r="D119" s="37"/>
      <c r="E119" s="38"/>
      <c r="F119" s="38"/>
      <c r="G119" s="38"/>
      <c r="H119" s="38"/>
      <c r="I119" s="38"/>
      <c r="J119" s="38"/>
      <c r="K119" s="38"/>
      <c r="L119" s="39"/>
    </row>
    <row r="122" spans="2:14" ht="16.2" thickBot="1" x14ac:dyDescent="0.35">
      <c r="B122" s="3" t="s">
        <v>435</v>
      </c>
    </row>
    <row r="123" spans="2:14" x14ac:dyDescent="0.25">
      <c r="B123" s="115" t="s">
        <v>272</v>
      </c>
      <c r="C123" s="108" t="s">
        <v>491</v>
      </c>
      <c r="D123" s="22"/>
      <c r="E123" s="23"/>
      <c r="F123" s="24"/>
      <c r="G123" s="25"/>
      <c r="H123" s="25"/>
      <c r="I123" s="25"/>
      <c r="J123" s="25"/>
      <c r="K123" s="25"/>
      <c r="L123" s="26"/>
    </row>
    <row r="124" spans="2:14" ht="15.6" thickBot="1" x14ac:dyDescent="0.3">
      <c r="B124" s="116"/>
      <c r="C124" s="109"/>
      <c r="D124" s="27"/>
      <c r="E124" s="28"/>
      <c r="F124" s="29"/>
      <c r="L124" s="30"/>
    </row>
    <row r="125" spans="2:14" ht="16.2" thickBot="1" x14ac:dyDescent="0.35">
      <c r="B125" s="116"/>
      <c r="C125" s="109"/>
      <c r="D125" s="27"/>
      <c r="E125" s="31"/>
      <c r="F125" s="32" t="s">
        <v>0</v>
      </c>
      <c r="G125" s="33"/>
      <c r="H125" s="3" t="s">
        <v>2</v>
      </c>
      <c r="I125" s="33"/>
      <c r="J125" s="34" t="s">
        <v>3</v>
      </c>
      <c r="K125" s="33"/>
      <c r="L125" s="35" t="s">
        <v>4</v>
      </c>
      <c r="M125" s="2" t="str">
        <f>IF(E125="X","",IF(G125="X","",IF(I125="X","",IF(K125="X","","Elegir opción"))))</f>
        <v>Elegir opción</v>
      </c>
      <c r="N125" s="28" t="str">
        <f>IF(E125="X",3,IF(G125="X",2,IF(I125="X",1,IF(K125="X",0,"Promedio"))))</f>
        <v>Promedio</v>
      </c>
    </row>
    <row r="126" spans="2:14" x14ac:dyDescent="0.25">
      <c r="B126" s="116"/>
      <c r="C126" s="109"/>
      <c r="D126" s="36"/>
      <c r="L126" s="30"/>
    </row>
    <row r="127" spans="2:14" x14ac:dyDescent="0.25">
      <c r="B127" s="116"/>
      <c r="C127" s="109"/>
      <c r="D127" s="36"/>
      <c r="L127" s="30"/>
    </row>
    <row r="128" spans="2:14" ht="15.6" thickBot="1" x14ac:dyDescent="0.3">
      <c r="B128" s="117"/>
      <c r="C128" s="110"/>
      <c r="D128" s="37"/>
      <c r="E128" s="38"/>
      <c r="F128" s="38"/>
      <c r="G128" s="38"/>
      <c r="H128" s="38"/>
      <c r="I128" s="38"/>
      <c r="J128" s="38"/>
      <c r="K128" s="38"/>
      <c r="L128" s="39"/>
    </row>
    <row r="129" spans="2:14" ht="15.6" thickBot="1" x14ac:dyDescent="0.3"/>
    <row r="130" spans="2:14" x14ac:dyDescent="0.25">
      <c r="B130" s="115" t="s">
        <v>273</v>
      </c>
      <c r="C130" s="108" t="s">
        <v>245</v>
      </c>
      <c r="D130" s="22"/>
      <c r="E130" s="23"/>
      <c r="F130" s="24"/>
      <c r="G130" s="25"/>
      <c r="H130" s="25"/>
      <c r="I130" s="25"/>
      <c r="J130" s="25"/>
      <c r="K130" s="25"/>
      <c r="L130" s="26"/>
    </row>
    <row r="131" spans="2:14" ht="15.6" thickBot="1" x14ac:dyDescent="0.3">
      <c r="B131" s="116"/>
      <c r="C131" s="109"/>
      <c r="D131" s="27"/>
      <c r="E131" s="28"/>
      <c r="F131" s="29"/>
      <c r="L131" s="30"/>
    </row>
    <row r="132" spans="2:14" ht="16.2" thickBot="1" x14ac:dyDescent="0.35">
      <c r="B132" s="116"/>
      <c r="C132" s="109"/>
      <c r="D132" s="27"/>
      <c r="E132" s="31"/>
      <c r="F132" s="32" t="s">
        <v>0</v>
      </c>
      <c r="G132" s="33"/>
      <c r="H132" s="3" t="s">
        <v>2</v>
      </c>
      <c r="I132" s="33"/>
      <c r="J132" s="34" t="s">
        <v>3</v>
      </c>
      <c r="K132" s="33"/>
      <c r="L132" s="35" t="s">
        <v>4</v>
      </c>
      <c r="M132" s="2" t="str">
        <f>IF(E132="X","",IF(G132="X","",IF(I132="X","",IF(K132="X","","Elegir opción"))))</f>
        <v>Elegir opción</v>
      </c>
      <c r="N132" s="28" t="str">
        <f>IF(E132="X",3,IF(G132="X",2,IF(I132="X",1,IF(K132="X",0,"Promedio"))))</f>
        <v>Promedio</v>
      </c>
    </row>
    <row r="133" spans="2:14" x14ac:dyDescent="0.25">
      <c r="B133" s="116"/>
      <c r="C133" s="109"/>
      <c r="D133" s="36"/>
      <c r="L133" s="30"/>
    </row>
    <row r="134" spans="2:14" x14ac:dyDescent="0.25">
      <c r="B134" s="116"/>
      <c r="C134" s="109"/>
      <c r="D134" s="36"/>
      <c r="L134" s="30"/>
    </row>
    <row r="135" spans="2:14" ht="15.6" thickBot="1" x14ac:dyDescent="0.3">
      <c r="B135" s="117"/>
      <c r="C135" s="110"/>
      <c r="D135" s="37"/>
      <c r="E135" s="38"/>
      <c r="F135" s="38"/>
      <c r="G135" s="38"/>
      <c r="H135" s="38"/>
      <c r="I135" s="38"/>
      <c r="J135" s="38"/>
      <c r="K135" s="38"/>
      <c r="L135" s="39"/>
    </row>
    <row r="136" spans="2:14" ht="15.6" thickBot="1" x14ac:dyDescent="0.3"/>
    <row r="137" spans="2:14" x14ac:dyDescent="0.25">
      <c r="B137" s="115" t="s">
        <v>274</v>
      </c>
      <c r="C137" s="108" t="s">
        <v>492</v>
      </c>
      <c r="D137" s="22"/>
      <c r="E137" s="23"/>
      <c r="F137" s="24"/>
      <c r="G137" s="25"/>
      <c r="H137" s="25"/>
      <c r="I137" s="25"/>
      <c r="J137" s="25"/>
      <c r="K137" s="25"/>
      <c r="L137" s="26"/>
    </row>
    <row r="138" spans="2:14" ht="15.6" thickBot="1" x14ac:dyDescent="0.3">
      <c r="B138" s="116"/>
      <c r="C138" s="109"/>
      <c r="D138" s="27"/>
      <c r="E138" s="28"/>
      <c r="F138" s="29"/>
      <c r="L138" s="30"/>
    </row>
    <row r="139" spans="2:14" ht="16.2" thickBot="1" x14ac:dyDescent="0.35">
      <c r="B139" s="116"/>
      <c r="C139" s="109"/>
      <c r="D139" s="27"/>
      <c r="E139" s="31"/>
      <c r="F139" s="32" t="s">
        <v>0</v>
      </c>
      <c r="G139" s="33"/>
      <c r="H139" s="3" t="s">
        <v>2</v>
      </c>
      <c r="I139" s="33"/>
      <c r="J139" s="34" t="s">
        <v>3</v>
      </c>
      <c r="K139" s="33"/>
      <c r="L139" s="35" t="s">
        <v>4</v>
      </c>
      <c r="M139" s="2" t="str">
        <f>IF(E139="X","",IF(G139="X","",IF(I139="X","",IF(K139="X","","Elegir opción"))))</f>
        <v>Elegir opción</v>
      </c>
      <c r="N139" s="28" t="str">
        <f>IF(E139="X",3,IF(G139="X",2,IF(I139="X",1,IF(K139="X",0,"Promedio"))))</f>
        <v>Promedio</v>
      </c>
    </row>
    <row r="140" spans="2:14" x14ac:dyDescent="0.25">
      <c r="B140" s="116"/>
      <c r="C140" s="109"/>
      <c r="D140" s="36"/>
      <c r="L140" s="30"/>
    </row>
    <row r="141" spans="2:14" x14ac:dyDescent="0.25">
      <c r="B141" s="116"/>
      <c r="C141" s="109"/>
      <c r="D141" s="36"/>
      <c r="L141" s="30"/>
    </row>
    <row r="142" spans="2:14" ht="15.6" thickBot="1" x14ac:dyDescent="0.3">
      <c r="B142" s="117"/>
      <c r="C142" s="110"/>
      <c r="D142" s="37"/>
      <c r="E142" s="38"/>
      <c r="F142" s="38"/>
      <c r="G142" s="38"/>
      <c r="H142" s="38"/>
      <c r="I142" s="38"/>
      <c r="J142" s="38"/>
      <c r="K142" s="38"/>
      <c r="L142" s="39"/>
    </row>
    <row r="143" spans="2:14" ht="15.6" thickBot="1" x14ac:dyDescent="0.3"/>
    <row r="144" spans="2:14" x14ac:dyDescent="0.25">
      <c r="B144" s="115" t="s">
        <v>275</v>
      </c>
      <c r="C144" s="108" t="s">
        <v>246</v>
      </c>
      <c r="D144" s="22"/>
      <c r="E144" s="23"/>
      <c r="F144" s="24"/>
      <c r="G144" s="25"/>
      <c r="H144" s="25"/>
      <c r="I144" s="25"/>
      <c r="J144" s="25"/>
      <c r="K144" s="25"/>
      <c r="L144" s="26"/>
    </row>
    <row r="145" spans="2:14" ht="15.6" thickBot="1" x14ac:dyDescent="0.3">
      <c r="B145" s="116"/>
      <c r="C145" s="109"/>
      <c r="D145" s="27"/>
      <c r="E145" s="28"/>
      <c r="F145" s="29"/>
      <c r="L145" s="30"/>
    </row>
    <row r="146" spans="2:14" ht="16.2" thickBot="1" x14ac:dyDescent="0.35">
      <c r="B146" s="116"/>
      <c r="C146" s="109"/>
      <c r="D146" s="27"/>
      <c r="E146" s="31"/>
      <c r="F146" s="32" t="s">
        <v>0</v>
      </c>
      <c r="G146" s="33"/>
      <c r="H146" s="3" t="s">
        <v>2</v>
      </c>
      <c r="I146" s="33"/>
      <c r="J146" s="34" t="s">
        <v>3</v>
      </c>
      <c r="K146" s="33"/>
      <c r="L146" s="35" t="s">
        <v>4</v>
      </c>
      <c r="M146" s="2" t="str">
        <f>IF(E146="X","",IF(G146="X","",IF(I146="X","",IF(K146="X","","Elegir opción"))))</f>
        <v>Elegir opción</v>
      </c>
      <c r="N146" s="28" t="str">
        <f>IF(E146="X",3,IF(G146="X",2,IF(I146="X",1,IF(K146="X",0,"Promedio"))))</f>
        <v>Promedio</v>
      </c>
    </row>
    <row r="147" spans="2:14" x14ac:dyDescent="0.25">
      <c r="B147" s="116"/>
      <c r="C147" s="109"/>
      <c r="D147" s="36"/>
      <c r="L147" s="30"/>
    </row>
    <row r="148" spans="2:14" x14ac:dyDescent="0.25">
      <c r="B148" s="116"/>
      <c r="C148" s="109"/>
      <c r="D148" s="36"/>
      <c r="L148" s="30"/>
    </row>
    <row r="149" spans="2:14" ht="15.6" thickBot="1" x14ac:dyDescent="0.3">
      <c r="B149" s="117"/>
      <c r="C149" s="110"/>
      <c r="D149" s="37"/>
      <c r="E149" s="38"/>
      <c r="F149" s="38"/>
      <c r="G149" s="38"/>
      <c r="H149" s="38"/>
      <c r="I149" s="38"/>
      <c r="J149" s="38"/>
      <c r="K149" s="38"/>
      <c r="L149" s="39"/>
    </row>
    <row r="150" spans="2:14" ht="15.6" thickBot="1" x14ac:dyDescent="0.3"/>
    <row r="151" spans="2:14" x14ac:dyDescent="0.25">
      <c r="B151" s="115" t="s">
        <v>276</v>
      </c>
      <c r="C151" s="108" t="s">
        <v>247</v>
      </c>
      <c r="D151" s="22"/>
      <c r="E151" s="23"/>
      <c r="F151" s="24"/>
      <c r="G151" s="25"/>
      <c r="H151" s="25"/>
      <c r="I151" s="25"/>
      <c r="J151" s="25"/>
      <c r="K151" s="25"/>
      <c r="L151" s="26"/>
    </row>
    <row r="152" spans="2:14" ht="15.6" thickBot="1" x14ac:dyDescent="0.3">
      <c r="B152" s="116"/>
      <c r="C152" s="109"/>
      <c r="D152" s="27"/>
      <c r="E152" s="28"/>
      <c r="F152" s="29"/>
      <c r="L152" s="30"/>
    </row>
    <row r="153" spans="2:14" ht="16.2" thickBot="1" x14ac:dyDescent="0.35">
      <c r="B153" s="116"/>
      <c r="C153" s="109"/>
      <c r="D153" s="27"/>
      <c r="E153" s="31"/>
      <c r="F153" s="32" t="s">
        <v>0</v>
      </c>
      <c r="G153" s="33"/>
      <c r="H153" s="3" t="s">
        <v>2</v>
      </c>
      <c r="I153" s="33"/>
      <c r="J153" s="34" t="s">
        <v>3</v>
      </c>
      <c r="K153" s="33"/>
      <c r="L153" s="35" t="s">
        <v>4</v>
      </c>
      <c r="M153" s="2" t="str">
        <f>IF(E153="X","",IF(G153="X","",IF(I153="X","",IF(K153="X","","Elegir opción"))))</f>
        <v>Elegir opción</v>
      </c>
      <c r="N153" s="28" t="str">
        <f>IF(E153="X",3,IF(G153="X",2,IF(I153="X",1,IF(K153="X",0,"Promedio"))))</f>
        <v>Promedio</v>
      </c>
    </row>
    <row r="154" spans="2:14" x14ac:dyDescent="0.25">
      <c r="B154" s="116"/>
      <c r="C154" s="109"/>
      <c r="D154" s="36"/>
      <c r="L154" s="30"/>
    </row>
    <row r="155" spans="2:14" x14ac:dyDescent="0.25">
      <c r="B155" s="116"/>
      <c r="C155" s="109"/>
      <c r="D155" s="36"/>
      <c r="L155" s="30"/>
    </row>
    <row r="156" spans="2:14" ht="15.6" thickBot="1" x14ac:dyDescent="0.3">
      <c r="B156" s="117"/>
      <c r="C156" s="110"/>
      <c r="D156" s="37"/>
      <c r="E156" s="38"/>
      <c r="F156" s="38"/>
      <c r="G156" s="38"/>
      <c r="H156" s="38"/>
      <c r="I156" s="38"/>
      <c r="J156" s="38"/>
      <c r="K156" s="38"/>
      <c r="L156" s="39"/>
    </row>
    <row r="158" spans="2:14" ht="16.2" thickBot="1" x14ac:dyDescent="0.35">
      <c r="B158" s="3" t="s">
        <v>23</v>
      </c>
    </row>
    <row r="159" spans="2:14" x14ac:dyDescent="0.25">
      <c r="B159" s="115" t="s">
        <v>277</v>
      </c>
      <c r="C159" s="108" t="s">
        <v>248</v>
      </c>
      <c r="D159" s="22"/>
      <c r="E159" s="23"/>
      <c r="F159" s="24"/>
      <c r="G159" s="25"/>
      <c r="H159" s="25"/>
      <c r="I159" s="25"/>
      <c r="J159" s="25"/>
      <c r="K159" s="25"/>
      <c r="L159" s="26"/>
    </row>
    <row r="160" spans="2:14" ht="15.6" thickBot="1" x14ac:dyDescent="0.3">
      <c r="B160" s="116"/>
      <c r="C160" s="109"/>
      <c r="D160" s="27"/>
      <c r="E160" s="28"/>
      <c r="F160" s="29"/>
      <c r="L160" s="30"/>
    </row>
    <row r="161" spans="2:14" ht="16.2" thickBot="1" x14ac:dyDescent="0.35">
      <c r="B161" s="116"/>
      <c r="C161" s="109"/>
      <c r="D161" s="27"/>
      <c r="E161" s="31"/>
      <c r="F161" s="32" t="s">
        <v>0</v>
      </c>
      <c r="G161" s="33"/>
      <c r="H161" s="3" t="s">
        <v>2</v>
      </c>
      <c r="I161" s="33"/>
      <c r="J161" s="34" t="s">
        <v>3</v>
      </c>
      <c r="K161" s="33"/>
      <c r="L161" s="35" t="s">
        <v>4</v>
      </c>
      <c r="M161" s="2" t="str">
        <f>IF(E161="X","",IF(G161="X","",IF(I161="X","",IF(K161="X","","Elegir opción"))))</f>
        <v>Elegir opción</v>
      </c>
      <c r="N161" s="28" t="str">
        <f>IF(E161="X",3,IF(G161="X",2,IF(I161="X",1,IF(K161="X",0,"Promedio"))))</f>
        <v>Promedio</v>
      </c>
    </row>
    <row r="162" spans="2:14" x14ac:dyDescent="0.25">
      <c r="B162" s="116"/>
      <c r="C162" s="109"/>
      <c r="D162" s="36"/>
      <c r="L162" s="30"/>
    </row>
    <row r="163" spans="2:14" x14ac:dyDescent="0.25">
      <c r="B163" s="116"/>
      <c r="C163" s="109"/>
      <c r="D163" s="36"/>
      <c r="L163" s="30"/>
    </row>
    <row r="164" spans="2:14" ht="15.6" thickBot="1" x14ac:dyDescent="0.3">
      <c r="B164" s="117"/>
      <c r="C164" s="110"/>
      <c r="D164" s="37"/>
      <c r="E164" s="38"/>
      <c r="F164" s="38"/>
      <c r="G164" s="38"/>
      <c r="H164" s="38"/>
      <c r="I164" s="38"/>
      <c r="J164" s="38"/>
      <c r="K164" s="38"/>
      <c r="L164" s="39"/>
    </row>
    <row r="166" spans="2:14" ht="16.2" thickBot="1" x14ac:dyDescent="0.35">
      <c r="B166" s="3" t="s">
        <v>24</v>
      </c>
    </row>
    <row r="167" spans="2:14" x14ac:dyDescent="0.25">
      <c r="B167" s="115" t="s">
        <v>278</v>
      </c>
      <c r="C167" s="108" t="s">
        <v>249</v>
      </c>
      <c r="D167" s="22"/>
      <c r="E167" s="23"/>
      <c r="F167" s="24"/>
      <c r="G167" s="25"/>
      <c r="H167" s="25"/>
      <c r="I167" s="25"/>
      <c r="J167" s="25"/>
      <c r="K167" s="25"/>
      <c r="L167" s="26"/>
    </row>
    <row r="168" spans="2:14" ht="15.6" thickBot="1" x14ac:dyDescent="0.3">
      <c r="B168" s="116"/>
      <c r="C168" s="109"/>
      <c r="D168" s="27"/>
      <c r="E168" s="28"/>
      <c r="F168" s="29"/>
      <c r="L168" s="30"/>
    </row>
    <row r="169" spans="2:14" ht="16.2" thickBot="1" x14ac:dyDescent="0.35">
      <c r="B169" s="116"/>
      <c r="C169" s="109"/>
      <c r="D169" s="27"/>
      <c r="E169" s="31"/>
      <c r="F169" s="32" t="s">
        <v>0</v>
      </c>
      <c r="G169" s="33"/>
      <c r="H169" s="3" t="s">
        <v>2</v>
      </c>
      <c r="I169" s="33"/>
      <c r="J169" s="34" t="s">
        <v>3</v>
      </c>
      <c r="K169" s="33"/>
      <c r="L169" s="35" t="s">
        <v>4</v>
      </c>
      <c r="M169" s="2" t="str">
        <f>IF(E169="X","",IF(G169="X","",IF(I169="X","",IF(K169="X","","Elegir opción"))))</f>
        <v>Elegir opción</v>
      </c>
      <c r="N169" s="28" t="str">
        <f>IF(E169="X",3,IF(G169="X",2,IF(I169="X",1,IF(K169="X",0,"Promedio"))))</f>
        <v>Promedio</v>
      </c>
    </row>
    <row r="170" spans="2:14" x14ac:dyDescent="0.25">
      <c r="B170" s="116"/>
      <c r="C170" s="109"/>
      <c r="D170" s="36"/>
      <c r="L170" s="30"/>
    </row>
    <row r="171" spans="2:14" x14ac:dyDescent="0.25">
      <c r="B171" s="116"/>
      <c r="C171" s="109"/>
      <c r="D171" s="36"/>
      <c r="L171" s="30"/>
    </row>
    <row r="172" spans="2:14" ht="15.6" thickBot="1" x14ac:dyDescent="0.3">
      <c r="B172" s="117"/>
      <c r="C172" s="110"/>
      <c r="D172" s="37"/>
      <c r="E172" s="38"/>
      <c r="F172" s="38"/>
      <c r="G172" s="38"/>
      <c r="H172" s="38"/>
      <c r="I172" s="38"/>
      <c r="J172" s="38"/>
      <c r="K172" s="38"/>
      <c r="L172" s="39"/>
    </row>
    <row r="173" spans="2:14" ht="15.6" thickBot="1" x14ac:dyDescent="0.3"/>
    <row r="174" spans="2:14" x14ac:dyDescent="0.25">
      <c r="B174" s="115" t="s">
        <v>279</v>
      </c>
      <c r="C174" s="108" t="s">
        <v>250</v>
      </c>
      <c r="D174" s="22"/>
      <c r="E174" s="23"/>
      <c r="F174" s="24"/>
      <c r="G174" s="25"/>
      <c r="H174" s="25"/>
      <c r="I174" s="25"/>
      <c r="J174" s="25"/>
      <c r="K174" s="25"/>
      <c r="L174" s="26"/>
    </row>
    <row r="175" spans="2:14" ht="15.6" thickBot="1" x14ac:dyDescent="0.3">
      <c r="B175" s="116"/>
      <c r="C175" s="109"/>
      <c r="D175" s="27"/>
      <c r="E175" s="28"/>
      <c r="F175" s="29"/>
      <c r="L175" s="30"/>
    </row>
    <row r="176" spans="2:14" ht="16.2" thickBot="1" x14ac:dyDescent="0.35">
      <c r="B176" s="116"/>
      <c r="C176" s="109"/>
      <c r="D176" s="27"/>
      <c r="E176" s="31"/>
      <c r="F176" s="32" t="s">
        <v>0</v>
      </c>
      <c r="G176" s="33"/>
      <c r="H176" s="3" t="s">
        <v>2</v>
      </c>
      <c r="I176" s="33"/>
      <c r="J176" s="34" t="s">
        <v>3</v>
      </c>
      <c r="K176" s="33"/>
      <c r="L176" s="35" t="s">
        <v>4</v>
      </c>
      <c r="M176" s="2" t="str">
        <f>IF(E176="X","",IF(G176="X","",IF(I176="X","",IF(K176="X","","Elegir opción"))))</f>
        <v>Elegir opción</v>
      </c>
      <c r="N176" s="28" t="str">
        <f>IF(E176="X",3,IF(G176="X",2,IF(I176="X",1,IF(K176="X",0,"Promedio"))))</f>
        <v>Promedio</v>
      </c>
    </row>
    <row r="177" spans="2:14" x14ac:dyDescent="0.25">
      <c r="B177" s="116"/>
      <c r="C177" s="109"/>
      <c r="D177" s="36"/>
      <c r="L177" s="30"/>
    </row>
    <row r="178" spans="2:14" x14ac:dyDescent="0.25">
      <c r="B178" s="116"/>
      <c r="C178" s="109"/>
      <c r="D178" s="36"/>
      <c r="L178" s="30"/>
    </row>
    <row r="179" spans="2:14" ht="15.6" thickBot="1" x14ac:dyDescent="0.3">
      <c r="B179" s="117"/>
      <c r="C179" s="110"/>
      <c r="D179" s="37"/>
      <c r="E179" s="38"/>
      <c r="F179" s="38"/>
      <c r="G179" s="38"/>
      <c r="H179" s="38"/>
      <c r="I179" s="38"/>
      <c r="J179" s="38"/>
      <c r="K179" s="38"/>
      <c r="L179" s="39"/>
    </row>
    <row r="180" spans="2:14" ht="15.6" thickBot="1" x14ac:dyDescent="0.3"/>
    <row r="181" spans="2:14" x14ac:dyDescent="0.25">
      <c r="B181" s="115" t="s">
        <v>280</v>
      </c>
      <c r="C181" s="108" t="s">
        <v>251</v>
      </c>
      <c r="D181" s="22"/>
      <c r="E181" s="23"/>
      <c r="F181" s="24"/>
      <c r="G181" s="25"/>
      <c r="H181" s="25"/>
      <c r="I181" s="25"/>
      <c r="J181" s="25"/>
      <c r="K181" s="25"/>
      <c r="L181" s="26"/>
    </row>
    <row r="182" spans="2:14" ht="15.6" thickBot="1" x14ac:dyDescent="0.3">
      <c r="B182" s="116"/>
      <c r="C182" s="109"/>
      <c r="D182" s="27"/>
      <c r="E182" s="28"/>
      <c r="F182" s="29"/>
      <c r="L182" s="30"/>
    </row>
    <row r="183" spans="2:14" ht="16.2" thickBot="1" x14ac:dyDescent="0.35">
      <c r="B183" s="116"/>
      <c r="C183" s="109"/>
      <c r="D183" s="27"/>
      <c r="E183" s="31"/>
      <c r="F183" s="32" t="s">
        <v>0</v>
      </c>
      <c r="G183" s="33"/>
      <c r="H183" s="3" t="s">
        <v>2</v>
      </c>
      <c r="I183" s="33"/>
      <c r="J183" s="34" t="s">
        <v>3</v>
      </c>
      <c r="K183" s="33"/>
      <c r="L183" s="35" t="s">
        <v>4</v>
      </c>
      <c r="M183" s="2" t="str">
        <f>IF(E183="X","",IF(G183="X","",IF(I183="X","",IF(K183="X","","Elegir opción"))))</f>
        <v>Elegir opción</v>
      </c>
      <c r="N183" s="28" t="str">
        <f>IF(E183="X",3,IF(G183="X",2,IF(I183="X",1,IF(K183="X",0,"Promedio"))))</f>
        <v>Promedio</v>
      </c>
    </row>
    <row r="184" spans="2:14" x14ac:dyDescent="0.25">
      <c r="B184" s="116"/>
      <c r="C184" s="109"/>
      <c r="D184" s="36"/>
      <c r="L184" s="30"/>
    </row>
    <row r="185" spans="2:14" x14ac:dyDescent="0.25">
      <c r="B185" s="116"/>
      <c r="C185" s="109"/>
      <c r="D185" s="36"/>
      <c r="L185" s="30"/>
    </row>
    <row r="186" spans="2:14" ht="15.6" thickBot="1" x14ac:dyDescent="0.3">
      <c r="B186" s="117"/>
      <c r="C186" s="110"/>
      <c r="D186" s="37"/>
      <c r="E186" s="38"/>
      <c r="F186" s="38"/>
      <c r="G186" s="38"/>
      <c r="H186" s="38"/>
      <c r="I186" s="38"/>
      <c r="J186" s="38"/>
      <c r="K186" s="38"/>
      <c r="L186" s="39"/>
    </row>
    <row r="187" spans="2:14" ht="15.6" thickBot="1" x14ac:dyDescent="0.3"/>
    <row r="188" spans="2:14" x14ac:dyDescent="0.25">
      <c r="B188" s="115" t="s">
        <v>281</v>
      </c>
      <c r="C188" s="108" t="s">
        <v>252</v>
      </c>
      <c r="D188" s="22"/>
      <c r="E188" s="23"/>
      <c r="F188" s="24"/>
      <c r="G188" s="25"/>
      <c r="H188" s="25"/>
      <c r="I188" s="25"/>
      <c r="J188" s="25"/>
      <c r="K188" s="25"/>
      <c r="L188" s="26"/>
    </row>
    <row r="189" spans="2:14" ht="15.6" thickBot="1" x14ac:dyDescent="0.3">
      <c r="B189" s="116"/>
      <c r="C189" s="109"/>
      <c r="D189" s="27"/>
      <c r="E189" s="28"/>
      <c r="F189" s="29"/>
      <c r="L189" s="30"/>
    </row>
    <row r="190" spans="2:14" ht="16.2" thickBot="1" x14ac:dyDescent="0.35">
      <c r="B190" s="116"/>
      <c r="C190" s="109"/>
      <c r="D190" s="27"/>
      <c r="E190" s="31"/>
      <c r="F190" s="32" t="s">
        <v>0</v>
      </c>
      <c r="G190" s="33"/>
      <c r="H190" s="3" t="s">
        <v>2</v>
      </c>
      <c r="I190" s="33"/>
      <c r="J190" s="34" t="s">
        <v>3</v>
      </c>
      <c r="K190" s="33"/>
      <c r="L190" s="35" t="s">
        <v>4</v>
      </c>
      <c r="M190" s="2" t="str">
        <f>IF(E190="X","",IF(G190="X","",IF(I190="X","",IF(K190="X","","Elegir opción"))))</f>
        <v>Elegir opción</v>
      </c>
      <c r="N190" s="28" t="str">
        <f>IF(E190="X",3,IF(G190="X",2,IF(I190="X",1,IF(K190="X",0,"Promedio"))))</f>
        <v>Promedio</v>
      </c>
    </row>
    <row r="191" spans="2:14" x14ac:dyDescent="0.25">
      <c r="B191" s="116"/>
      <c r="C191" s="109"/>
      <c r="D191" s="36"/>
      <c r="L191" s="30"/>
    </row>
    <row r="192" spans="2:14" x14ac:dyDescent="0.25">
      <c r="B192" s="116"/>
      <c r="C192" s="109"/>
      <c r="D192" s="36"/>
      <c r="L192" s="30"/>
    </row>
    <row r="193" spans="2:14" ht="29.25" customHeight="1" thickBot="1" x14ac:dyDescent="0.3">
      <c r="B193" s="117"/>
      <c r="C193" s="110"/>
      <c r="D193" s="37"/>
      <c r="E193" s="38"/>
      <c r="F193" s="38"/>
      <c r="G193" s="38"/>
      <c r="H193" s="38"/>
      <c r="I193" s="38"/>
      <c r="J193" s="38"/>
      <c r="K193" s="38"/>
      <c r="L193" s="39"/>
    </row>
    <row r="195" spans="2:14" ht="15.6" x14ac:dyDescent="0.3">
      <c r="E195" s="3"/>
      <c r="F195" s="3"/>
      <c r="G195" s="3"/>
      <c r="H195" s="3"/>
      <c r="I195" s="3"/>
      <c r="J195" s="3"/>
      <c r="K195" s="3"/>
    </row>
    <row r="196" spans="2:14" ht="16.2" thickBot="1" x14ac:dyDescent="0.35">
      <c r="B196" s="3" t="s">
        <v>25</v>
      </c>
    </row>
    <row r="197" spans="2:14" x14ac:dyDescent="0.25">
      <c r="B197" s="115" t="s">
        <v>282</v>
      </c>
      <c r="C197" s="108" t="s">
        <v>253</v>
      </c>
      <c r="D197" s="22"/>
      <c r="E197" s="23"/>
      <c r="F197" s="24"/>
      <c r="G197" s="25"/>
      <c r="H197" s="25"/>
      <c r="I197" s="25"/>
      <c r="J197" s="25"/>
      <c r="K197" s="25"/>
      <c r="L197" s="26"/>
    </row>
    <row r="198" spans="2:14" ht="15.6" thickBot="1" x14ac:dyDescent="0.3">
      <c r="B198" s="116"/>
      <c r="C198" s="109"/>
      <c r="D198" s="27"/>
      <c r="E198" s="28"/>
      <c r="F198" s="29"/>
      <c r="L198" s="30"/>
    </row>
    <row r="199" spans="2:14" ht="16.2" thickBot="1" x14ac:dyDescent="0.35">
      <c r="B199" s="116"/>
      <c r="C199" s="109"/>
      <c r="D199" s="27"/>
      <c r="E199" s="31"/>
      <c r="F199" s="32" t="s">
        <v>0</v>
      </c>
      <c r="G199" s="33"/>
      <c r="H199" s="3" t="s">
        <v>2</v>
      </c>
      <c r="I199" s="33"/>
      <c r="J199" s="34" t="s">
        <v>3</v>
      </c>
      <c r="K199" s="33"/>
      <c r="L199" s="35" t="s">
        <v>4</v>
      </c>
      <c r="M199" s="2" t="str">
        <f>IF(E199="X","",IF(G199="X","",IF(I199="X","",IF(K199="X","","Elegir opción"))))</f>
        <v>Elegir opción</v>
      </c>
      <c r="N199" s="28" t="str">
        <f>IF(E199="X",3,IF(G199="X",2,IF(I199="X",1,IF(K199="X",0,"Promedio"))))</f>
        <v>Promedio</v>
      </c>
    </row>
    <row r="200" spans="2:14" x14ac:dyDescent="0.25">
      <c r="B200" s="116"/>
      <c r="C200" s="109"/>
      <c r="D200" s="36"/>
      <c r="L200" s="30"/>
    </row>
    <row r="201" spans="2:14" x14ac:dyDescent="0.25">
      <c r="B201" s="116"/>
      <c r="C201" s="109"/>
      <c r="D201" s="36"/>
      <c r="L201" s="30"/>
    </row>
    <row r="202" spans="2:14" ht="15.6" thickBot="1" x14ac:dyDescent="0.3">
      <c r="B202" s="117"/>
      <c r="C202" s="110"/>
      <c r="D202" s="37"/>
      <c r="E202" s="38"/>
      <c r="F202" s="38"/>
      <c r="G202" s="38"/>
      <c r="H202" s="38"/>
      <c r="I202" s="38"/>
      <c r="J202" s="38"/>
      <c r="K202" s="38"/>
      <c r="L202" s="39"/>
    </row>
    <row r="203" spans="2:14" ht="15.6" thickBot="1" x14ac:dyDescent="0.3"/>
    <row r="204" spans="2:14" x14ac:dyDescent="0.25">
      <c r="B204" s="115" t="s">
        <v>283</v>
      </c>
      <c r="C204" s="108" t="s">
        <v>254</v>
      </c>
      <c r="D204" s="22"/>
      <c r="E204" s="23"/>
      <c r="F204" s="24"/>
      <c r="G204" s="25"/>
      <c r="H204" s="25"/>
      <c r="I204" s="25"/>
      <c r="J204" s="25"/>
      <c r="K204" s="25"/>
      <c r="L204" s="26"/>
    </row>
    <row r="205" spans="2:14" ht="15.6" thickBot="1" x14ac:dyDescent="0.3">
      <c r="B205" s="116"/>
      <c r="C205" s="109"/>
      <c r="D205" s="27"/>
      <c r="E205" s="28"/>
      <c r="F205" s="29"/>
      <c r="L205" s="30"/>
    </row>
    <row r="206" spans="2:14" ht="16.2" thickBot="1" x14ac:dyDescent="0.35">
      <c r="B206" s="116"/>
      <c r="C206" s="109"/>
      <c r="D206" s="27"/>
      <c r="E206" s="31"/>
      <c r="F206" s="32" t="s">
        <v>0</v>
      </c>
      <c r="G206" s="33"/>
      <c r="H206" s="3" t="s">
        <v>2</v>
      </c>
      <c r="I206" s="33"/>
      <c r="J206" s="34" t="s">
        <v>3</v>
      </c>
      <c r="K206" s="33"/>
      <c r="L206" s="35" t="s">
        <v>4</v>
      </c>
      <c r="M206" s="2" t="str">
        <f>IF(E206="X","",IF(G206="X","",IF(I206="X","",IF(K206="X","","Elegir opción"))))</f>
        <v>Elegir opción</v>
      </c>
      <c r="N206" s="28" t="str">
        <f>IF(E206="X",3,IF(G206="X",2,IF(I206="X",1,IF(K206="X",0,"Promedio"))))</f>
        <v>Promedio</v>
      </c>
    </row>
    <row r="207" spans="2:14" x14ac:dyDescent="0.25">
      <c r="B207" s="116"/>
      <c r="C207" s="109"/>
      <c r="D207" s="36"/>
      <c r="L207" s="30"/>
    </row>
    <row r="208" spans="2:14" x14ac:dyDescent="0.25">
      <c r="B208" s="116"/>
      <c r="C208" s="109"/>
      <c r="D208" s="36"/>
      <c r="L208" s="30"/>
    </row>
    <row r="209" spans="2:14" ht="15.6" thickBot="1" x14ac:dyDescent="0.3">
      <c r="B209" s="117"/>
      <c r="C209" s="110"/>
      <c r="D209" s="37"/>
      <c r="E209" s="38"/>
      <c r="F209" s="38"/>
      <c r="G209" s="38"/>
      <c r="H209" s="38"/>
      <c r="I209" s="38"/>
      <c r="J209" s="38"/>
      <c r="K209" s="38"/>
      <c r="L209" s="39"/>
    </row>
    <row r="210" spans="2:14" ht="15.6" thickBot="1" x14ac:dyDescent="0.3"/>
    <row r="211" spans="2:14" x14ac:dyDescent="0.25">
      <c r="B211" s="115" t="s">
        <v>284</v>
      </c>
      <c r="C211" s="108" t="s">
        <v>255</v>
      </c>
      <c r="D211" s="22"/>
      <c r="E211" s="23"/>
      <c r="F211" s="24"/>
      <c r="G211" s="25"/>
      <c r="H211" s="25"/>
      <c r="I211" s="25"/>
      <c r="J211" s="25"/>
      <c r="K211" s="25"/>
      <c r="L211" s="26"/>
    </row>
    <row r="212" spans="2:14" ht="15.6" thickBot="1" x14ac:dyDescent="0.3">
      <c r="B212" s="116"/>
      <c r="C212" s="109"/>
      <c r="D212" s="27"/>
      <c r="E212" s="28"/>
      <c r="F212" s="29"/>
      <c r="L212" s="30"/>
    </row>
    <row r="213" spans="2:14" ht="16.2" thickBot="1" x14ac:dyDescent="0.35">
      <c r="B213" s="116"/>
      <c r="C213" s="109"/>
      <c r="D213" s="27"/>
      <c r="E213" s="31"/>
      <c r="F213" s="32" t="s">
        <v>0</v>
      </c>
      <c r="G213" s="33"/>
      <c r="H213" s="3" t="s">
        <v>2</v>
      </c>
      <c r="I213" s="33"/>
      <c r="J213" s="34" t="s">
        <v>3</v>
      </c>
      <c r="K213" s="33"/>
      <c r="L213" s="35" t="s">
        <v>4</v>
      </c>
      <c r="M213" s="2" t="str">
        <f>IF(E213="X","",IF(G213="X","",IF(I213="X","",IF(K213="X","","Elegir opción"))))</f>
        <v>Elegir opción</v>
      </c>
      <c r="N213" s="28" t="str">
        <f>IF(E213="X",3,IF(G213="X",2,IF(I213="X",1,IF(K213="X",0,"Promedio"))))</f>
        <v>Promedio</v>
      </c>
    </row>
    <row r="214" spans="2:14" x14ac:dyDescent="0.25">
      <c r="B214" s="116"/>
      <c r="C214" s="109"/>
      <c r="D214" s="36"/>
      <c r="L214" s="30"/>
    </row>
    <row r="215" spans="2:14" x14ac:dyDescent="0.25">
      <c r="B215" s="116"/>
      <c r="C215" s="109"/>
      <c r="D215" s="36"/>
      <c r="L215" s="30"/>
    </row>
    <row r="216" spans="2:14" ht="15.6" thickBot="1" x14ac:dyDescent="0.3">
      <c r="B216" s="117"/>
      <c r="C216" s="110"/>
      <c r="D216" s="37"/>
      <c r="E216" s="38"/>
      <c r="F216" s="38"/>
      <c r="G216" s="38"/>
      <c r="H216" s="38"/>
      <c r="I216" s="38"/>
      <c r="J216" s="38"/>
      <c r="K216" s="38"/>
      <c r="L216" s="39"/>
    </row>
    <row r="217" spans="2:14" ht="15.6" thickBot="1" x14ac:dyDescent="0.3"/>
    <row r="218" spans="2:14" x14ac:dyDescent="0.25">
      <c r="B218" s="115" t="s">
        <v>285</v>
      </c>
      <c r="C218" s="108" t="s">
        <v>256</v>
      </c>
      <c r="D218" s="22"/>
      <c r="E218" s="23"/>
      <c r="F218" s="24"/>
      <c r="G218" s="25"/>
      <c r="H218" s="25"/>
      <c r="I218" s="25"/>
      <c r="J218" s="25"/>
      <c r="K218" s="25"/>
      <c r="L218" s="26"/>
    </row>
    <row r="219" spans="2:14" ht="15.6" thickBot="1" x14ac:dyDescent="0.3">
      <c r="B219" s="116"/>
      <c r="C219" s="109"/>
      <c r="D219" s="27"/>
      <c r="E219" s="28"/>
      <c r="F219" s="29"/>
      <c r="L219" s="30"/>
    </row>
    <row r="220" spans="2:14" ht="16.2" thickBot="1" x14ac:dyDescent="0.35">
      <c r="B220" s="116"/>
      <c r="C220" s="109"/>
      <c r="D220" s="27"/>
      <c r="E220" s="31"/>
      <c r="F220" s="32" t="s">
        <v>0</v>
      </c>
      <c r="G220" s="33"/>
      <c r="H220" s="3" t="s">
        <v>2</v>
      </c>
      <c r="I220" s="33"/>
      <c r="J220" s="34" t="s">
        <v>3</v>
      </c>
      <c r="K220" s="33"/>
      <c r="L220" s="35" t="s">
        <v>4</v>
      </c>
      <c r="M220" s="2" t="str">
        <f>IF(E220="X","",IF(G220="X","",IF(I220="X","",IF(K220="X","","Elegir opción"))))</f>
        <v>Elegir opción</v>
      </c>
      <c r="N220" s="28" t="str">
        <f>IF(E220="X",3,IF(G220="X",2,IF(I220="X",1,IF(K220="X",0,"Promedio"))))</f>
        <v>Promedio</v>
      </c>
    </row>
    <row r="221" spans="2:14" x14ac:dyDescent="0.25">
      <c r="B221" s="116"/>
      <c r="C221" s="109"/>
      <c r="D221" s="36"/>
      <c r="L221" s="30"/>
    </row>
    <row r="222" spans="2:14" x14ac:dyDescent="0.25">
      <c r="B222" s="116"/>
      <c r="C222" s="109"/>
      <c r="D222" s="36"/>
      <c r="L222" s="30"/>
    </row>
    <row r="223" spans="2:14" ht="15.6" thickBot="1" x14ac:dyDescent="0.3">
      <c r="B223" s="117"/>
      <c r="C223" s="110"/>
      <c r="D223" s="37"/>
      <c r="E223" s="38"/>
      <c r="F223" s="38"/>
      <c r="G223" s="38"/>
      <c r="H223" s="38"/>
      <c r="I223" s="38"/>
      <c r="J223" s="38"/>
      <c r="K223" s="38"/>
      <c r="L223" s="39"/>
    </row>
    <row r="224" spans="2:14" ht="15.6" thickBot="1" x14ac:dyDescent="0.3"/>
    <row r="225" spans="2:14" x14ac:dyDescent="0.25">
      <c r="B225" s="115" t="s">
        <v>286</v>
      </c>
      <c r="C225" s="108" t="s">
        <v>257</v>
      </c>
      <c r="D225" s="22"/>
      <c r="E225" s="23"/>
      <c r="F225" s="24"/>
      <c r="G225" s="25"/>
      <c r="H225" s="25"/>
      <c r="I225" s="25"/>
      <c r="J225" s="25"/>
      <c r="K225" s="25"/>
      <c r="L225" s="26"/>
    </row>
    <row r="226" spans="2:14" ht="15.6" thickBot="1" x14ac:dyDescent="0.3">
      <c r="B226" s="116"/>
      <c r="C226" s="109"/>
      <c r="D226" s="27"/>
      <c r="E226" s="28"/>
      <c r="F226" s="29"/>
      <c r="L226" s="30"/>
    </row>
    <row r="227" spans="2:14" ht="16.2" thickBot="1" x14ac:dyDescent="0.35">
      <c r="B227" s="116"/>
      <c r="C227" s="109"/>
      <c r="D227" s="27"/>
      <c r="E227" s="31"/>
      <c r="F227" s="32" t="s">
        <v>0</v>
      </c>
      <c r="G227" s="33"/>
      <c r="H227" s="3" t="s">
        <v>2</v>
      </c>
      <c r="I227" s="33"/>
      <c r="J227" s="34" t="s">
        <v>3</v>
      </c>
      <c r="K227" s="33"/>
      <c r="L227" s="35" t="s">
        <v>4</v>
      </c>
      <c r="M227" s="2" t="str">
        <f>IF(E227="X","",IF(G227="X","",IF(I227="X","",IF(K227="X","","Elegir opción"))))</f>
        <v>Elegir opción</v>
      </c>
      <c r="N227" s="28" t="str">
        <f>IF(E227="X",3,IF(G227="X",2,IF(I227="X",1,IF(K227="X",0,"Promedio"))))</f>
        <v>Promedio</v>
      </c>
    </row>
    <row r="228" spans="2:14" x14ac:dyDescent="0.25">
      <c r="B228" s="116"/>
      <c r="C228" s="109"/>
      <c r="D228" s="36"/>
      <c r="L228" s="30"/>
    </row>
    <row r="229" spans="2:14" x14ac:dyDescent="0.25">
      <c r="B229" s="116"/>
      <c r="C229" s="109"/>
      <c r="D229" s="36"/>
      <c r="L229" s="30"/>
    </row>
    <row r="230" spans="2:14" ht="15.6" thickBot="1" x14ac:dyDescent="0.3">
      <c r="B230" s="117"/>
      <c r="C230" s="110"/>
      <c r="D230" s="37"/>
      <c r="E230" s="38"/>
      <c r="F230" s="38"/>
      <c r="G230" s="38"/>
      <c r="H230" s="38"/>
      <c r="I230" s="38"/>
      <c r="J230" s="38"/>
      <c r="K230" s="38"/>
      <c r="L230" s="39"/>
    </row>
    <row r="232" spans="2:14" ht="15.6" x14ac:dyDescent="0.3">
      <c r="E232" s="3"/>
      <c r="F232" s="3"/>
      <c r="G232" s="3"/>
      <c r="H232" s="3"/>
      <c r="I232" s="3"/>
      <c r="J232" s="3"/>
      <c r="K232" s="3"/>
    </row>
    <row r="233" spans="2:14" ht="16.2" thickBot="1" x14ac:dyDescent="0.35">
      <c r="B233" s="3" t="s">
        <v>493</v>
      </c>
    </row>
    <row r="234" spans="2:14" x14ac:dyDescent="0.25">
      <c r="B234" s="115" t="s">
        <v>287</v>
      </c>
      <c r="C234" s="108" t="s">
        <v>253</v>
      </c>
      <c r="D234" s="22"/>
      <c r="E234" s="23"/>
      <c r="F234" s="24"/>
      <c r="G234" s="25"/>
      <c r="H234" s="25"/>
      <c r="I234" s="25"/>
      <c r="J234" s="25"/>
      <c r="K234" s="25"/>
      <c r="L234" s="26"/>
    </row>
    <row r="235" spans="2:14" ht="15.6" thickBot="1" x14ac:dyDescent="0.3">
      <c r="B235" s="116"/>
      <c r="C235" s="109"/>
      <c r="D235" s="27"/>
      <c r="E235" s="28"/>
      <c r="F235" s="29"/>
      <c r="L235" s="30"/>
    </row>
    <row r="236" spans="2:14" ht="16.2" thickBot="1" x14ac:dyDescent="0.35">
      <c r="B236" s="116"/>
      <c r="C236" s="109"/>
      <c r="D236" s="27"/>
      <c r="E236" s="31"/>
      <c r="F236" s="32" t="s">
        <v>0</v>
      </c>
      <c r="G236" s="33"/>
      <c r="H236" s="3" t="s">
        <v>2</v>
      </c>
      <c r="I236" s="33"/>
      <c r="J236" s="34" t="s">
        <v>3</v>
      </c>
      <c r="K236" s="33"/>
      <c r="L236" s="35" t="s">
        <v>4</v>
      </c>
      <c r="M236" s="2" t="str">
        <f>IF(E236="X","",IF(G236="X","",IF(I236="X","",IF(K236="X","","Elegir opción"))))</f>
        <v>Elegir opción</v>
      </c>
      <c r="N236" s="28" t="str">
        <f>IF(E236="X",3,IF(G236="X",2,IF(I236="X",1,IF(K236="X",0,"Promedio"))))</f>
        <v>Promedio</v>
      </c>
    </row>
    <row r="237" spans="2:14" x14ac:dyDescent="0.25">
      <c r="B237" s="116"/>
      <c r="C237" s="109"/>
      <c r="D237" s="36"/>
      <c r="L237" s="30"/>
    </row>
    <row r="238" spans="2:14" x14ac:dyDescent="0.25">
      <c r="B238" s="116"/>
      <c r="C238" s="109"/>
      <c r="D238" s="36"/>
      <c r="L238" s="30"/>
    </row>
    <row r="239" spans="2:14" ht="15.6" thickBot="1" x14ac:dyDescent="0.3">
      <c r="B239" s="117"/>
      <c r="C239" s="110"/>
      <c r="D239" s="37"/>
      <c r="E239" s="38"/>
      <c r="F239" s="38"/>
      <c r="G239" s="38"/>
      <c r="H239" s="38"/>
      <c r="I239" s="38"/>
      <c r="J239" s="38"/>
      <c r="K239" s="38"/>
      <c r="L239" s="39"/>
    </row>
    <row r="240" spans="2:14" ht="15.6" thickBot="1" x14ac:dyDescent="0.3"/>
    <row r="241" spans="2:14" x14ac:dyDescent="0.25">
      <c r="B241" s="115" t="s">
        <v>288</v>
      </c>
      <c r="C241" s="108" t="s">
        <v>258</v>
      </c>
      <c r="D241" s="22"/>
      <c r="E241" s="23"/>
      <c r="F241" s="24"/>
      <c r="G241" s="25"/>
      <c r="H241" s="25"/>
      <c r="I241" s="25"/>
      <c r="J241" s="25"/>
      <c r="K241" s="25"/>
      <c r="L241" s="26"/>
    </row>
    <row r="242" spans="2:14" ht="15.6" thickBot="1" x14ac:dyDescent="0.3">
      <c r="B242" s="116"/>
      <c r="C242" s="109"/>
      <c r="D242" s="27"/>
      <c r="E242" s="28"/>
      <c r="F242" s="29"/>
      <c r="L242" s="30"/>
    </row>
    <row r="243" spans="2:14" ht="16.2" thickBot="1" x14ac:dyDescent="0.35">
      <c r="B243" s="116"/>
      <c r="C243" s="109"/>
      <c r="D243" s="27"/>
      <c r="E243" s="31"/>
      <c r="F243" s="32" t="s">
        <v>0</v>
      </c>
      <c r="G243" s="33"/>
      <c r="H243" s="3" t="s">
        <v>2</v>
      </c>
      <c r="I243" s="33"/>
      <c r="J243" s="34" t="s">
        <v>3</v>
      </c>
      <c r="K243" s="33"/>
      <c r="L243" s="35" t="s">
        <v>4</v>
      </c>
      <c r="M243" s="2" t="str">
        <f>IF(E243="X","",IF(G243="X","",IF(I243="X","",IF(K243="X","","Elegir opción"))))</f>
        <v>Elegir opción</v>
      </c>
      <c r="N243" s="28" t="str">
        <f>IF(E243="X",3,IF(G243="X",2,IF(I243="X",1,IF(K243="X",0,"Promedio"))))</f>
        <v>Promedio</v>
      </c>
    </row>
    <row r="244" spans="2:14" x14ac:dyDescent="0.25">
      <c r="B244" s="116"/>
      <c r="C244" s="109"/>
      <c r="D244" s="36"/>
      <c r="L244" s="30"/>
    </row>
    <row r="245" spans="2:14" x14ac:dyDescent="0.25">
      <c r="B245" s="116"/>
      <c r="C245" s="109"/>
      <c r="D245" s="36"/>
      <c r="L245" s="30"/>
    </row>
    <row r="246" spans="2:14" ht="15.6" thickBot="1" x14ac:dyDescent="0.3">
      <c r="B246" s="117"/>
      <c r="C246" s="110"/>
      <c r="D246" s="37"/>
      <c r="E246" s="38"/>
      <c r="F246" s="38"/>
      <c r="G246" s="38"/>
      <c r="H246" s="38"/>
      <c r="I246" s="38"/>
      <c r="J246" s="38"/>
      <c r="K246" s="38"/>
      <c r="L246" s="39"/>
    </row>
    <row r="247" spans="2:14" ht="15.6" thickBot="1" x14ac:dyDescent="0.3"/>
    <row r="248" spans="2:14" x14ac:dyDescent="0.25">
      <c r="B248" s="115" t="s">
        <v>289</v>
      </c>
      <c r="C248" s="108" t="s">
        <v>259</v>
      </c>
      <c r="D248" s="22"/>
      <c r="E248" s="23"/>
      <c r="F248" s="24"/>
      <c r="G248" s="25"/>
      <c r="H248" s="25"/>
      <c r="I248" s="25"/>
      <c r="J248" s="25"/>
      <c r="K248" s="25"/>
      <c r="L248" s="26"/>
    </row>
    <row r="249" spans="2:14" ht="15.6" thickBot="1" x14ac:dyDescent="0.3">
      <c r="B249" s="116"/>
      <c r="C249" s="109"/>
      <c r="D249" s="27"/>
      <c r="E249" s="28"/>
      <c r="F249" s="29"/>
      <c r="L249" s="30"/>
    </row>
    <row r="250" spans="2:14" ht="16.2" thickBot="1" x14ac:dyDescent="0.35">
      <c r="B250" s="116"/>
      <c r="C250" s="109"/>
      <c r="D250" s="27"/>
      <c r="E250" s="31"/>
      <c r="F250" s="32" t="s">
        <v>0</v>
      </c>
      <c r="G250" s="33"/>
      <c r="H250" s="3" t="s">
        <v>2</v>
      </c>
      <c r="I250" s="33"/>
      <c r="J250" s="34" t="s">
        <v>3</v>
      </c>
      <c r="K250" s="33"/>
      <c r="L250" s="35" t="s">
        <v>4</v>
      </c>
      <c r="M250" s="2" t="str">
        <f>IF(E250="X","",IF(G250="X","",IF(I250="X","",IF(K250="X","","Elegir opción"))))</f>
        <v>Elegir opción</v>
      </c>
      <c r="N250" s="28" t="str">
        <f>IF(E250="X",3,IF(G250="X",2,IF(I250="X",1,IF(K250="X",0,"Promedio"))))</f>
        <v>Promedio</v>
      </c>
    </row>
    <row r="251" spans="2:14" x14ac:dyDescent="0.25">
      <c r="B251" s="116"/>
      <c r="C251" s="109"/>
      <c r="D251" s="36"/>
      <c r="L251" s="30"/>
    </row>
    <row r="252" spans="2:14" x14ac:dyDescent="0.25">
      <c r="B252" s="116"/>
      <c r="C252" s="109"/>
      <c r="D252" s="36"/>
      <c r="L252" s="30"/>
    </row>
    <row r="253" spans="2:14" ht="15.6" thickBot="1" x14ac:dyDescent="0.3">
      <c r="B253" s="117"/>
      <c r="C253" s="110"/>
      <c r="D253" s="37"/>
      <c r="E253" s="38"/>
      <c r="F253" s="38"/>
      <c r="G253" s="38"/>
      <c r="H253" s="38"/>
      <c r="I253" s="38"/>
      <c r="J253" s="38"/>
      <c r="K253" s="38"/>
      <c r="L253" s="39"/>
    </row>
    <row r="254" spans="2:14" ht="15.6" thickBot="1" x14ac:dyDescent="0.3"/>
    <row r="255" spans="2:14" x14ac:dyDescent="0.25">
      <c r="B255" s="115" t="s">
        <v>290</v>
      </c>
      <c r="C255" s="108" t="s">
        <v>260</v>
      </c>
      <c r="D255" s="22"/>
      <c r="E255" s="23"/>
      <c r="F255" s="24"/>
      <c r="G255" s="25"/>
      <c r="H255" s="25"/>
      <c r="I255" s="25"/>
      <c r="J255" s="25"/>
      <c r="K255" s="25"/>
      <c r="L255" s="26"/>
    </row>
    <row r="256" spans="2:14" ht="15.6" thickBot="1" x14ac:dyDescent="0.3">
      <c r="B256" s="116"/>
      <c r="C256" s="109"/>
      <c r="D256" s="27"/>
      <c r="E256" s="28"/>
      <c r="F256" s="29"/>
      <c r="L256" s="30"/>
    </row>
    <row r="257" spans="2:14" ht="16.2" thickBot="1" x14ac:dyDescent="0.35">
      <c r="B257" s="116"/>
      <c r="C257" s="109"/>
      <c r="D257" s="27"/>
      <c r="E257" s="31"/>
      <c r="F257" s="32" t="s">
        <v>0</v>
      </c>
      <c r="G257" s="33"/>
      <c r="H257" s="3" t="s">
        <v>2</v>
      </c>
      <c r="I257" s="33"/>
      <c r="J257" s="34" t="s">
        <v>3</v>
      </c>
      <c r="K257" s="33"/>
      <c r="L257" s="52" t="s">
        <v>4</v>
      </c>
      <c r="M257" s="2" t="str">
        <f>IF(E257="X","",IF(G257="X","",IF(I257="X","",IF(K257="X","","Elegir opción"))))</f>
        <v>Elegir opción</v>
      </c>
      <c r="N257" s="28" t="str">
        <f>IF(E257="X",3,IF(G257="X",2,IF(I257="X",1,IF(K257="X",0,"Promedio"))))</f>
        <v>Promedio</v>
      </c>
    </row>
    <row r="258" spans="2:14" x14ac:dyDescent="0.25">
      <c r="B258" s="116"/>
      <c r="C258" s="109"/>
      <c r="D258" s="36"/>
      <c r="L258" s="30"/>
    </row>
    <row r="259" spans="2:14" x14ac:dyDescent="0.25">
      <c r="B259" s="116"/>
      <c r="C259" s="109"/>
      <c r="D259" s="36"/>
      <c r="L259" s="30"/>
    </row>
    <row r="260" spans="2:14" ht="15.6" thickBot="1" x14ac:dyDescent="0.3">
      <c r="B260" s="117"/>
      <c r="C260" s="110"/>
      <c r="D260" s="37"/>
      <c r="E260" s="38"/>
      <c r="F260" s="38"/>
      <c r="G260" s="38"/>
      <c r="H260" s="38"/>
      <c r="I260" s="38"/>
      <c r="J260" s="38"/>
      <c r="K260" s="38"/>
      <c r="L260" s="39"/>
    </row>
  </sheetData>
  <sheetProtection selectLockedCells="1"/>
  <mergeCells count="68">
    <mergeCell ref="B234:B239"/>
    <mergeCell ref="B241:B246"/>
    <mergeCell ref="B248:B253"/>
    <mergeCell ref="B255:B260"/>
    <mergeCell ref="B84:B89"/>
    <mergeCell ref="B93:B98"/>
    <mergeCell ref="B100:B105"/>
    <mergeCell ref="B107:B112"/>
    <mergeCell ref="B114:B119"/>
    <mergeCell ref="B123:B128"/>
    <mergeCell ref="B197:B202"/>
    <mergeCell ref="B204:B209"/>
    <mergeCell ref="B211:B216"/>
    <mergeCell ref="B218:B223"/>
    <mergeCell ref="B225:B230"/>
    <mergeCell ref="B159:B164"/>
    <mergeCell ref="B167:B172"/>
    <mergeCell ref="B174:B179"/>
    <mergeCell ref="C70:C75"/>
    <mergeCell ref="C77:C82"/>
    <mergeCell ref="C84:C89"/>
    <mergeCell ref="C93:C98"/>
    <mergeCell ref="C100:C105"/>
    <mergeCell ref="B137:B142"/>
    <mergeCell ref="B144:B149"/>
    <mergeCell ref="B151:B156"/>
    <mergeCell ref="C151:C156"/>
    <mergeCell ref="C114:C119"/>
    <mergeCell ref="C123:C128"/>
    <mergeCell ref="C130:C135"/>
    <mergeCell ref="C137:C142"/>
    <mergeCell ref="C144:C149"/>
    <mergeCell ref="C248:C253"/>
    <mergeCell ref="C255:C260"/>
    <mergeCell ref="C234:C239"/>
    <mergeCell ref="C241:C246"/>
    <mergeCell ref="C159:C164"/>
    <mergeCell ref="C167:C172"/>
    <mergeCell ref="C174:C179"/>
    <mergeCell ref="C181:C186"/>
    <mergeCell ref="C188:C193"/>
    <mergeCell ref="C225:C230"/>
    <mergeCell ref="C197:C202"/>
    <mergeCell ref="C204:C209"/>
    <mergeCell ref="C211:C216"/>
    <mergeCell ref="C218:C223"/>
    <mergeCell ref="B181:B186"/>
    <mergeCell ref="B188:B193"/>
    <mergeCell ref="C30:C35"/>
    <mergeCell ref="C40:C45"/>
    <mergeCell ref="C47:C52"/>
    <mergeCell ref="C56:C61"/>
    <mergeCell ref="C63:C68"/>
    <mergeCell ref="C107:C112"/>
    <mergeCell ref="B30:B35"/>
    <mergeCell ref="B40:B45"/>
    <mergeCell ref="B47:B52"/>
    <mergeCell ref="B56:B61"/>
    <mergeCell ref="B63:B68"/>
    <mergeCell ref="B70:B75"/>
    <mergeCell ref="B77:B82"/>
    <mergeCell ref="B130:B135"/>
    <mergeCell ref="C8:C13"/>
    <mergeCell ref="B8:B13"/>
    <mergeCell ref="C16:C21"/>
    <mergeCell ref="B16:B21"/>
    <mergeCell ref="C23:C28"/>
    <mergeCell ref="B23:B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M58"/>
  <sheetViews>
    <sheetView showGridLines="0" workbookViewId="0">
      <selection activeCell="B2" sqref="B2:M2"/>
    </sheetView>
  </sheetViews>
  <sheetFormatPr baseColWidth="10" defaultColWidth="11.44140625" defaultRowHeight="15" x14ac:dyDescent="0.25"/>
  <cols>
    <col min="1" max="2" width="11.44140625" style="2"/>
    <col min="3" max="3" width="24.6640625" style="2" customWidth="1"/>
    <col min="4" max="4" width="11.44140625" style="2"/>
    <col min="5" max="5" width="13" style="2" customWidth="1"/>
    <col min="6" max="6" width="33.5546875" style="2" bestFit="1" customWidth="1"/>
    <col min="7" max="7" width="11.6640625" style="2" bestFit="1" customWidth="1"/>
    <col min="8" max="16384" width="11.44140625" style="2"/>
  </cols>
  <sheetData>
    <row r="2" spans="2:13" ht="17.399999999999999" x14ac:dyDescent="0.3">
      <c r="B2" s="114" t="s">
        <v>583</v>
      </c>
      <c r="C2" s="114"/>
      <c r="D2" s="114"/>
      <c r="E2" s="114"/>
      <c r="F2" s="114"/>
      <c r="G2" s="114"/>
      <c r="H2" s="114"/>
      <c r="I2" s="114"/>
      <c r="J2" s="114"/>
      <c r="K2" s="114"/>
      <c r="L2" s="114"/>
      <c r="M2" s="114"/>
    </row>
    <row r="3" spans="2:13" ht="18" thickBot="1" x14ac:dyDescent="0.35">
      <c r="B3" s="1"/>
    </row>
    <row r="4" spans="2:13" ht="15.6" x14ac:dyDescent="0.3">
      <c r="B4" s="53" t="s">
        <v>18</v>
      </c>
      <c r="C4" s="25"/>
      <c r="D4" s="26"/>
    </row>
    <row r="5" spans="2:13" x14ac:dyDescent="0.25">
      <c r="B5" s="36" t="s">
        <v>450</v>
      </c>
      <c r="C5" s="2" t="s">
        <v>496</v>
      </c>
      <c r="D5" s="30"/>
    </row>
    <row r="6" spans="2:13" ht="15.6" thickBot="1" x14ac:dyDescent="0.3">
      <c r="B6" s="42">
        <v>120</v>
      </c>
      <c r="C6" s="51" t="str">
        <f>'DIAGNOSTICO SEGURIDAD Y SALUD E'!N10</f>
        <v>Promedio</v>
      </c>
      <c r="D6" s="30"/>
    </row>
    <row r="7" spans="2:13" x14ac:dyDescent="0.25">
      <c r="B7" s="44"/>
      <c r="D7" s="30"/>
      <c r="E7" s="46"/>
      <c r="F7" s="25"/>
      <c r="G7" s="25"/>
      <c r="H7" s="26"/>
    </row>
    <row r="8" spans="2:13" ht="15.6" x14ac:dyDescent="0.3">
      <c r="B8" s="70" t="s">
        <v>19</v>
      </c>
      <c r="D8" s="30"/>
      <c r="E8" s="36"/>
      <c r="F8" s="8" t="s">
        <v>389</v>
      </c>
      <c r="G8" s="8" t="e">
        <f>SUMIF(C6:C6,"&gt;0",C6:C6)/COUNTIF(C6:C6,"&gt;0")</f>
        <v>#DIV/0!</v>
      </c>
      <c r="H8" s="30"/>
    </row>
    <row r="9" spans="2:13" x14ac:dyDescent="0.25">
      <c r="B9" s="42">
        <v>121</v>
      </c>
      <c r="C9" s="8" t="str">
        <f>'DIAGNOSTICO SEGURIDAD Y SALUD E'!N18</f>
        <v>Promedio</v>
      </c>
      <c r="D9" s="30"/>
      <c r="E9" s="36"/>
      <c r="F9" s="8" t="s">
        <v>390</v>
      </c>
      <c r="G9" s="8" t="e">
        <f>SUMIF(C9:C11,"&gt;0",C9:C11)/COUNTIF(C9:C11,"&gt;0")</f>
        <v>#DIV/0!</v>
      </c>
      <c r="H9" s="30"/>
    </row>
    <row r="10" spans="2:13" x14ac:dyDescent="0.25">
      <c r="B10" s="42">
        <v>122</v>
      </c>
      <c r="C10" s="8" t="str">
        <f>'DIAGNOSTICO SEGURIDAD Y SALUD E'!N25</f>
        <v>Promedio</v>
      </c>
      <c r="D10" s="30"/>
      <c r="E10" s="36"/>
      <c r="F10" s="8" t="s">
        <v>391</v>
      </c>
      <c r="G10" s="8" t="e">
        <f>SUMIF(C14:C15,"&gt;0",C14:C15)/COUNTIF(C14:C15,"&gt;0")</f>
        <v>#DIV/0!</v>
      </c>
      <c r="H10" s="30"/>
    </row>
    <row r="11" spans="2:13" x14ac:dyDescent="0.25">
      <c r="B11" s="42">
        <v>123</v>
      </c>
      <c r="C11" s="8" t="str">
        <f>'DIAGNOSTICO SEGURIDAD Y SALUD E'!N32</f>
        <v>Promedio</v>
      </c>
      <c r="D11" s="30"/>
      <c r="E11" s="36"/>
      <c r="F11" s="8" t="s">
        <v>392</v>
      </c>
      <c r="G11" s="8" t="e">
        <f>SUMIF(C18:C22,"&gt;0",C18:C22)/COUNTIF(C18:C22,"&gt;0")</f>
        <v>#DIV/0!</v>
      </c>
      <c r="H11" s="30"/>
    </row>
    <row r="12" spans="2:13" x14ac:dyDescent="0.25">
      <c r="B12" s="44"/>
      <c r="D12" s="30"/>
      <c r="E12" s="36"/>
      <c r="F12" s="8" t="s">
        <v>393</v>
      </c>
      <c r="G12" s="8" t="e">
        <f>SUMIF(C25:C28,"&gt;0",C25:C28)/COUNTIF(C25:C28,"&gt;0")</f>
        <v>#DIV/0!</v>
      </c>
      <c r="H12" s="30"/>
    </row>
    <row r="13" spans="2:13" ht="15.6" x14ac:dyDescent="0.3">
      <c r="B13" s="70" t="s">
        <v>20</v>
      </c>
      <c r="D13" s="30"/>
      <c r="E13" s="36"/>
      <c r="F13" s="8" t="s">
        <v>394</v>
      </c>
      <c r="G13" s="8" t="e">
        <f>SUMIF(C31:C35,"&gt;0",C31:C35)/COUNTIF(C31:C35,"&gt;0")</f>
        <v>#DIV/0!</v>
      </c>
      <c r="H13" s="30"/>
    </row>
    <row r="14" spans="2:13" x14ac:dyDescent="0.25">
      <c r="B14" s="42">
        <v>124</v>
      </c>
      <c r="C14" s="8" t="str">
        <f>'DIAGNOSTICO SEGURIDAD Y SALUD E'!N42</f>
        <v>Promedio</v>
      </c>
      <c r="D14" s="30"/>
      <c r="E14" s="36"/>
      <c r="F14" s="8" t="s">
        <v>395</v>
      </c>
      <c r="G14" s="8" t="e">
        <f>SUMIF(C38:C38,"&gt;0",C38:C38)/COUNTIF(C38:C38,"&gt;0")</f>
        <v>#DIV/0!</v>
      </c>
      <c r="H14" s="30"/>
    </row>
    <row r="15" spans="2:13" x14ac:dyDescent="0.25">
      <c r="B15" s="42">
        <v>125</v>
      </c>
      <c r="C15" s="8" t="str">
        <f>'DIAGNOSTICO SEGURIDAD Y SALUD E'!N49</f>
        <v>Promedio</v>
      </c>
      <c r="D15" s="30"/>
      <c r="E15" s="36"/>
      <c r="F15" s="8" t="s">
        <v>396</v>
      </c>
      <c r="G15" s="8" t="e">
        <f>SUMIF(C41:C44,"&gt;0",C41:C44)/COUNTIF(C41:C44,"&gt;0")</f>
        <v>#DIV/0!</v>
      </c>
      <c r="H15" s="30"/>
    </row>
    <row r="16" spans="2:13" x14ac:dyDescent="0.25">
      <c r="B16" s="44"/>
      <c r="D16" s="30"/>
      <c r="E16" s="36"/>
      <c r="F16" s="8" t="s">
        <v>397</v>
      </c>
      <c r="G16" s="8" t="e">
        <f>SUMIF(C47:C51,"&gt;0",C47:C51)/COUNTIF(C47:C51,"&gt;0")</f>
        <v>#DIV/0!</v>
      </c>
      <c r="H16" s="30"/>
    </row>
    <row r="17" spans="2:8" ht="15.6" x14ac:dyDescent="0.3">
      <c r="B17" s="70" t="s">
        <v>21</v>
      </c>
      <c r="D17" s="30"/>
      <c r="E17" s="36"/>
      <c r="F17" s="8" t="s">
        <v>398</v>
      </c>
      <c r="G17" s="8" t="e">
        <f>SUMIF(C54:C57,"&gt;0",C54:C57)/COUNTIF(C54:C57,"&gt;0")</f>
        <v>#DIV/0!</v>
      </c>
      <c r="H17" s="30"/>
    </row>
    <row r="18" spans="2:8" ht="15.6" thickBot="1" x14ac:dyDescent="0.3">
      <c r="B18" s="42">
        <v>126</v>
      </c>
      <c r="C18" s="51" t="str">
        <f>'DIAGNOSTICO SEGURIDAD Y SALUD E'!N58</f>
        <v>Promedio</v>
      </c>
      <c r="D18" s="30"/>
      <c r="E18" s="37"/>
      <c r="F18" s="38"/>
      <c r="G18" s="38"/>
      <c r="H18" s="39"/>
    </row>
    <row r="19" spans="2:8" x14ac:dyDescent="0.25">
      <c r="B19" s="42">
        <v>127</v>
      </c>
      <c r="C19" s="8" t="str">
        <f>'DIAGNOSTICO SEGURIDAD Y SALUD E'!N65</f>
        <v>Promedio</v>
      </c>
      <c r="D19" s="30"/>
      <c r="F19" s="2" t="s">
        <v>499</v>
      </c>
      <c r="G19" s="2" t="e">
        <f>((SUM(G8:G17)/10)*100)/10</f>
        <v>#DIV/0!</v>
      </c>
    </row>
    <row r="20" spans="2:8" x14ac:dyDescent="0.25">
      <c r="B20" s="42">
        <v>128</v>
      </c>
      <c r="C20" s="8" t="str">
        <f>'DIAGNOSTICO SEGURIDAD Y SALUD E'!N72</f>
        <v>Promedio</v>
      </c>
      <c r="D20" s="30"/>
    </row>
    <row r="21" spans="2:8" x14ac:dyDescent="0.25">
      <c r="B21" s="42">
        <v>129</v>
      </c>
      <c r="C21" s="8" t="str">
        <f>'DIAGNOSTICO SEGURIDAD Y SALUD E'!N79</f>
        <v>Promedio</v>
      </c>
      <c r="D21" s="30"/>
    </row>
    <row r="22" spans="2:8" x14ac:dyDescent="0.25">
      <c r="B22" s="42">
        <v>130</v>
      </c>
      <c r="C22" s="8" t="str">
        <f>'DIAGNOSTICO SEGURIDAD Y SALUD E'!N86</f>
        <v>Promedio</v>
      </c>
      <c r="D22" s="30"/>
    </row>
    <row r="23" spans="2:8" x14ac:dyDescent="0.25">
      <c r="B23" s="44"/>
      <c r="D23" s="30"/>
    </row>
    <row r="24" spans="2:8" ht="15.6" x14ac:dyDescent="0.3">
      <c r="B24" s="70" t="s">
        <v>22</v>
      </c>
      <c r="D24" s="30"/>
    </row>
    <row r="25" spans="2:8" x14ac:dyDescent="0.25">
      <c r="B25" s="42">
        <v>131</v>
      </c>
      <c r="C25" s="8" t="str">
        <f>'DIAGNOSTICO SEGURIDAD Y SALUD E'!N95</f>
        <v>Promedio</v>
      </c>
      <c r="D25" s="30"/>
    </row>
    <row r="26" spans="2:8" x14ac:dyDescent="0.25">
      <c r="B26" s="42">
        <v>132</v>
      </c>
      <c r="C26" s="8" t="str">
        <f>'DIAGNOSTICO SEGURIDAD Y SALUD E'!N102</f>
        <v>Promedio</v>
      </c>
      <c r="D26" s="30"/>
    </row>
    <row r="27" spans="2:8" x14ac:dyDescent="0.25">
      <c r="B27" s="42">
        <v>133</v>
      </c>
      <c r="C27" s="8" t="str">
        <f>'DIAGNOSTICO SEGURIDAD Y SALUD E'!N109</f>
        <v>Promedio</v>
      </c>
      <c r="D27" s="30"/>
    </row>
    <row r="28" spans="2:8" x14ac:dyDescent="0.25">
      <c r="B28" s="42">
        <v>134</v>
      </c>
      <c r="C28" s="8" t="str">
        <f>'DIAGNOSTICO SEGURIDAD Y SALUD E'!N116</f>
        <v>Promedio</v>
      </c>
      <c r="D28" s="30"/>
    </row>
    <row r="29" spans="2:8" x14ac:dyDescent="0.25">
      <c r="B29" s="44"/>
      <c r="D29" s="30"/>
    </row>
    <row r="30" spans="2:8" ht="15.6" x14ac:dyDescent="0.3">
      <c r="B30" s="70" t="s">
        <v>435</v>
      </c>
      <c r="D30" s="30"/>
    </row>
    <row r="31" spans="2:8" x14ac:dyDescent="0.25">
      <c r="B31" s="42">
        <v>135</v>
      </c>
      <c r="C31" s="8" t="str">
        <f>'DIAGNOSTICO SEGURIDAD Y SALUD E'!N125</f>
        <v>Promedio</v>
      </c>
      <c r="D31" s="30"/>
    </row>
    <row r="32" spans="2:8" x14ac:dyDescent="0.25">
      <c r="B32" s="42">
        <v>136</v>
      </c>
      <c r="C32" s="8" t="str">
        <f>'DIAGNOSTICO SEGURIDAD Y SALUD E'!N132</f>
        <v>Promedio</v>
      </c>
      <c r="D32" s="30"/>
    </row>
    <row r="33" spans="2:4" x14ac:dyDescent="0.25">
      <c r="B33" s="42">
        <v>137</v>
      </c>
      <c r="C33" s="8" t="str">
        <f>'DIAGNOSTICO SEGURIDAD Y SALUD E'!N139</f>
        <v>Promedio</v>
      </c>
      <c r="D33" s="30"/>
    </row>
    <row r="34" spans="2:4" x14ac:dyDescent="0.25">
      <c r="B34" s="42">
        <v>138</v>
      </c>
      <c r="C34" s="8" t="str">
        <f>'DIAGNOSTICO SEGURIDAD Y SALUD E'!N146</f>
        <v>Promedio</v>
      </c>
      <c r="D34" s="30"/>
    </row>
    <row r="35" spans="2:4" x14ac:dyDescent="0.25">
      <c r="B35" s="42">
        <v>139</v>
      </c>
      <c r="C35" s="8" t="str">
        <f>'DIAGNOSTICO SEGURIDAD Y SALUD E'!N153</f>
        <v>Promedio</v>
      </c>
      <c r="D35" s="30"/>
    </row>
    <row r="36" spans="2:4" x14ac:dyDescent="0.25">
      <c r="B36" s="44"/>
      <c r="D36" s="30"/>
    </row>
    <row r="37" spans="2:4" ht="15.6" x14ac:dyDescent="0.3">
      <c r="B37" s="70" t="s">
        <v>23</v>
      </c>
      <c r="D37" s="30"/>
    </row>
    <row r="38" spans="2:4" x14ac:dyDescent="0.25">
      <c r="B38" s="42">
        <v>140</v>
      </c>
      <c r="C38" s="8" t="str">
        <f>'DIAGNOSTICO SEGURIDAD Y SALUD E'!N161</f>
        <v>Promedio</v>
      </c>
      <c r="D38" s="30"/>
    </row>
    <row r="39" spans="2:4" x14ac:dyDescent="0.25">
      <c r="B39" s="44"/>
      <c r="D39" s="30"/>
    </row>
    <row r="40" spans="2:4" ht="15.6" x14ac:dyDescent="0.3">
      <c r="B40" s="70" t="s">
        <v>437</v>
      </c>
      <c r="D40" s="30"/>
    </row>
    <row r="41" spans="2:4" x14ac:dyDescent="0.25">
      <c r="B41" s="42">
        <v>141</v>
      </c>
      <c r="C41" s="8" t="str">
        <f>'DIAGNOSTICO SEGURIDAD Y SALUD E'!N169</f>
        <v>Promedio</v>
      </c>
      <c r="D41" s="30"/>
    </row>
    <row r="42" spans="2:4" x14ac:dyDescent="0.25">
      <c r="B42" s="42">
        <v>142</v>
      </c>
      <c r="C42" s="8" t="str">
        <f>'DIAGNOSTICO SEGURIDAD Y SALUD E'!N176</f>
        <v>Promedio</v>
      </c>
      <c r="D42" s="30"/>
    </row>
    <row r="43" spans="2:4" x14ac:dyDescent="0.25">
      <c r="B43" s="42">
        <v>143</v>
      </c>
      <c r="C43" s="8" t="str">
        <f>'DIAGNOSTICO SEGURIDAD Y SALUD E'!N183</f>
        <v>Promedio</v>
      </c>
      <c r="D43" s="30"/>
    </row>
    <row r="44" spans="2:4" x14ac:dyDescent="0.25">
      <c r="B44" s="42">
        <v>144</v>
      </c>
      <c r="C44" s="8" t="str">
        <f>'DIAGNOSTICO SEGURIDAD Y SALUD E'!N190</f>
        <v>Promedio</v>
      </c>
      <c r="D44" s="30"/>
    </row>
    <row r="45" spans="2:4" x14ac:dyDescent="0.25">
      <c r="B45" s="44"/>
      <c r="D45" s="30"/>
    </row>
    <row r="46" spans="2:4" ht="15.6" x14ac:dyDescent="0.3">
      <c r="B46" s="70" t="s">
        <v>25</v>
      </c>
      <c r="D46" s="30"/>
    </row>
    <row r="47" spans="2:4" x14ac:dyDescent="0.25">
      <c r="B47" s="42">
        <v>145</v>
      </c>
      <c r="C47" s="8" t="str">
        <f>'DIAGNOSTICO SEGURIDAD Y SALUD E'!N199</f>
        <v>Promedio</v>
      </c>
      <c r="D47" s="30"/>
    </row>
    <row r="48" spans="2:4" x14ac:dyDescent="0.25">
      <c r="B48" s="42">
        <v>146</v>
      </c>
      <c r="C48" s="8" t="str">
        <f>'DIAGNOSTICO SEGURIDAD Y SALUD E'!N206</f>
        <v>Promedio</v>
      </c>
      <c r="D48" s="30"/>
    </row>
    <row r="49" spans="2:4" x14ac:dyDescent="0.25">
      <c r="B49" s="42">
        <v>147</v>
      </c>
      <c r="C49" s="8" t="str">
        <f>'DIAGNOSTICO SEGURIDAD Y SALUD E'!N213</f>
        <v>Promedio</v>
      </c>
      <c r="D49" s="30"/>
    </row>
    <row r="50" spans="2:4" x14ac:dyDescent="0.25">
      <c r="B50" s="42">
        <v>148</v>
      </c>
      <c r="C50" s="8" t="str">
        <f>'DIAGNOSTICO SEGURIDAD Y SALUD E'!N220</f>
        <v>Promedio</v>
      </c>
      <c r="D50" s="30"/>
    </row>
    <row r="51" spans="2:4" x14ac:dyDescent="0.25">
      <c r="B51" s="42">
        <v>149</v>
      </c>
      <c r="C51" s="8" t="str">
        <f>'DIAGNOSTICO SEGURIDAD Y SALUD E'!N227</f>
        <v>Promedio</v>
      </c>
      <c r="D51" s="30"/>
    </row>
    <row r="52" spans="2:4" x14ac:dyDescent="0.25">
      <c r="B52" s="44"/>
      <c r="D52" s="30"/>
    </row>
    <row r="53" spans="2:4" ht="15.6" x14ac:dyDescent="0.3">
      <c r="B53" s="70" t="s">
        <v>493</v>
      </c>
      <c r="D53" s="30"/>
    </row>
    <row r="54" spans="2:4" x14ac:dyDescent="0.25">
      <c r="B54" s="42">
        <v>150</v>
      </c>
      <c r="C54" s="8" t="str">
        <f>'DIAGNOSTICO SEGURIDAD Y SALUD E'!N236</f>
        <v>Promedio</v>
      </c>
      <c r="D54" s="30"/>
    </row>
    <row r="55" spans="2:4" x14ac:dyDescent="0.25">
      <c r="B55" s="42">
        <v>151</v>
      </c>
      <c r="C55" s="8" t="str">
        <f>'DIAGNOSTICO SEGURIDAD Y SALUD E'!N243</f>
        <v>Promedio</v>
      </c>
      <c r="D55" s="30"/>
    </row>
    <row r="56" spans="2:4" x14ac:dyDescent="0.25">
      <c r="B56" s="42">
        <v>152</v>
      </c>
      <c r="C56" s="8" t="str">
        <f>'DIAGNOSTICO SEGURIDAD Y SALUD E'!N250</f>
        <v>Promedio</v>
      </c>
      <c r="D56" s="30"/>
    </row>
    <row r="57" spans="2:4" x14ac:dyDescent="0.25">
      <c r="B57" s="42">
        <v>153</v>
      </c>
      <c r="C57" s="8" t="str">
        <f>'DIAGNOSTICO SEGURIDAD Y SALUD E'!N257</f>
        <v>Promedio</v>
      </c>
      <c r="D57" s="30"/>
    </row>
    <row r="58" spans="2:4" ht="15.6" thickBot="1" x14ac:dyDescent="0.3">
      <c r="B58" s="37"/>
      <c r="C58" s="38"/>
      <c r="D58" s="39"/>
    </row>
  </sheetData>
  <mergeCells count="1">
    <mergeCell ref="B2:M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N309"/>
  <sheetViews>
    <sheetView showGridLines="0" topLeftCell="A295" zoomScaleNormal="100" workbookViewId="0">
      <selection activeCell="O313" sqref="O313"/>
    </sheetView>
  </sheetViews>
  <sheetFormatPr baseColWidth="10" defaultColWidth="11.44140625" defaultRowHeight="15" x14ac:dyDescent="0.25"/>
  <cols>
    <col min="1" max="2" width="11.44140625" style="2"/>
    <col min="3" max="3" width="56.88671875" style="2" customWidth="1"/>
    <col min="4" max="5" width="2.88671875" style="2" customWidth="1"/>
    <col min="6" max="6" width="6.6640625" style="2" customWidth="1"/>
    <col min="7" max="7" width="3" style="2" customWidth="1"/>
    <col min="8" max="8" width="4.88671875" style="2" customWidth="1"/>
    <col min="9" max="9" width="2.88671875" style="2" customWidth="1"/>
    <col min="10" max="10" width="5.44140625" style="2" customWidth="1"/>
    <col min="11" max="11" width="2.88671875" style="2" customWidth="1"/>
    <col min="12" max="12" width="4.6640625" style="2" customWidth="1"/>
    <col min="13" max="13" width="14.44140625" style="2" bestFit="1" customWidth="1"/>
    <col min="14" max="16" width="11.44140625" style="2"/>
    <col min="17" max="17" width="56.88671875" style="2" customWidth="1"/>
    <col min="18" max="19" width="2.88671875" style="2" customWidth="1"/>
    <col min="20" max="20" width="6.6640625" style="2" customWidth="1"/>
    <col min="21" max="21" width="3" style="2" customWidth="1"/>
    <col min="22" max="22" width="4.88671875" style="2" customWidth="1"/>
    <col min="23" max="23" width="2.88671875" style="2" customWidth="1"/>
    <col min="24" max="24" width="5.44140625" style="2" customWidth="1"/>
    <col min="25" max="25" width="2.88671875" style="2" customWidth="1"/>
    <col min="26" max="26" width="4.6640625" style="2" customWidth="1"/>
    <col min="27" max="27" width="14.44140625" style="2" bestFit="1" customWidth="1"/>
    <col min="28" max="16384" width="11.44140625" style="2"/>
  </cols>
  <sheetData>
    <row r="2" spans="2:14" ht="17.399999999999999" x14ac:dyDescent="0.3">
      <c r="B2" s="1" t="s">
        <v>441</v>
      </c>
    </row>
    <row r="4" spans="2:14" ht="15.6" x14ac:dyDescent="0.3">
      <c r="B4" s="3" t="s">
        <v>428</v>
      </c>
    </row>
    <row r="6" spans="2:14" ht="15.6" x14ac:dyDescent="0.3">
      <c r="E6" s="3">
        <v>3</v>
      </c>
      <c r="F6" s="3"/>
      <c r="G6" s="3">
        <v>2</v>
      </c>
      <c r="H6" s="3"/>
      <c r="I6" s="3">
        <v>1</v>
      </c>
      <c r="J6" s="3"/>
      <c r="K6" s="3">
        <v>0</v>
      </c>
    </row>
    <row r="7" spans="2:14" ht="15.6" x14ac:dyDescent="0.3">
      <c r="B7" s="3" t="s">
        <v>26</v>
      </c>
    </row>
    <row r="8" spans="2:14" ht="15.6" thickBot="1" x14ac:dyDescent="0.3"/>
    <row r="9" spans="2:14" x14ac:dyDescent="0.25">
      <c r="B9" s="115" t="s">
        <v>292</v>
      </c>
      <c r="C9" s="108" t="s">
        <v>291</v>
      </c>
      <c r="D9" s="22"/>
      <c r="E9" s="23"/>
      <c r="F9" s="24"/>
      <c r="G9" s="25"/>
      <c r="H9" s="25"/>
      <c r="I9" s="25"/>
      <c r="J9" s="25"/>
      <c r="K9" s="25"/>
      <c r="L9" s="26"/>
    </row>
    <row r="10" spans="2:14" ht="15.6" thickBot="1" x14ac:dyDescent="0.3">
      <c r="B10" s="116"/>
      <c r="C10" s="109"/>
      <c r="D10" s="27"/>
      <c r="E10" s="28"/>
      <c r="F10" s="29"/>
      <c r="L10" s="30"/>
    </row>
    <row r="11" spans="2:14" ht="16.2" thickBot="1" x14ac:dyDescent="0.35">
      <c r="B11" s="116"/>
      <c r="C11" s="109"/>
      <c r="D11" s="27"/>
      <c r="E11" s="31"/>
      <c r="F11" s="32" t="s">
        <v>0</v>
      </c>
      <c r="G11" s="33"/>
      <c r="H11" s="3" t="s">
        <v>2</v>
      </c>
      <c r="I11" s="33"/>
      <c r="J11" s="34" t="s">
        <v>3</v>
      </c>
      <c r="K11" s="33"/>
      <c r="L11" s="35" t="s">
        <v>4</v>
      </c>
      <c r="M11" s="2" t="str">
        <f>IF(E11="X","",IF(G11="X","",IF(I11="X","",IF(K11="X","","Elegir opción"))))</f>
        <v>Elegir opción</v>
      </c>
      <c r="N11" s="28" t="str">
        <f>IF(E11="X",3,IF(G11="X",2,IF(I11="X",1,IF(K11="X",0,"Promedio"))))</f>
        <v>Promedio</v>
      </c>
    </row>
    <row r="12" spans="2:14" x14ac:dyDescent="0.25">
      <c r="B12" s="116"/>
      <c r="C12" s="109"/>
      <c r="D12" s="36"/>
      <c r="L12" s="30"/>
    </row>
    <row r="13" spans="2:14" x14ac:dyDescent="0.25">
      <c r="B13" s="116"/>
      <c r="C13" s="109"/>
      <c r="D13" s="36"/>
      <c r="L13" s="30"/>
    </row>
    <row r="14" spans="2:14" ht="15.6" thickBot="1" x14ac:dyDescent="0.3">
      <c r="B14" s="117"/>
      <c r="C14" s="110"/>
      <c r="D14" s="37"/>
      <c r="E14" s="38"/>
      <c r="F14" s="38"/>
      <c r="G14" s="38"/>
      <c r="H14" s="38"/>
      <c r="I14" s="38"/>
      <c r="J14" s="38"/>
      <c r="K14" s="38"/>
      <c r="L14" s="39"/>
    </row>
    <row r="15" spans="2:14" ht="15.6" thickBot="1" x14ac:dyDescent="0.3"/>
    <row r="16" spans="2:14" ht="15" customHeight="1" x14ac:dyDescent="0.25">
      <c r="B16" s="115" t="s">
        <v>293</v>
      </c>
      <c r="C16" s="108" t="s">
        <v>294</v>
      </c>
      <c r="D16" s="22"/>
      <c r="E16" s="23"/>
      <c r="F16" s="24"/>
      <c r="G16" s="25"/>
      <c r="H16" s="25"/>
      <c r="I16" s="25"/>
      <c r="J16" s="25"/>
      <c r="K16" s="25"/>
      <c r="L16" s="26"/>
    </row>
    <row r="17" spans="2:14" ht="15.6" thickBot="1" x14ac:dyDescent="0.3">
      <c r="B17" s="116"/>
      <c r="C17" s="109"/>
      <c r="D17" s="27"/>
      <c r="E17" s="28"/>
      <c r="F17" s="29"/>
      <c r="L17" s="30"/>
    </row>
    <row r="18" spans="2:14" ht="16.2" thickBot="1" x14ac:dyDescent="0.35">
      <c r="B18" s="116"/>
      <c r="C18" s="109"/>
      <c r="D18" s="27"/>
      <c r="E18" s="31"/>
      <c r="F18" s="32" t="s">
        <v>0</v>
      </c>
      <c r="G18" s="33"/>
      <c r="H18" s="3" t="s">
        <v>2</v>
      </c>
      <c r="I18" s="33"/>
      <c r="J18" s="34" t="s">
        <v>3</v>
      </c>
      <c r="K18" s="33"/>
      <c r="L18" s="35" t="s">
        <v>4</v>
      </c>
      <c r="M18" s="2" t="str">
        <f>IF(E18="X","",IF(G18="X","",IF(I18="X","",IF(K18="X","","Elegir opción"))))</f>
        <v>Elegir opción</v>
      </c>
      <c r="N18" s="28" t="str">
        <f>IF(E18="X",3,IF(G18="X",2,IF(I18="X",1,IF(K18="X",0,"Promedio"))))</f>
        <v>Promedio</v>
      </c>
    </row>
    <row r="19" spans="2:14" x14ac:dyDescent="0.25">
      <c r="B19" s="116"/>
      <c r="C19" s="109"/>
      <c r="D19" s="36"/>
      <c r="L19" s="30"/>
    </row>
    <row r="20" spans="2:14" x14ac:dyDescent="0.25">
      <c r="B20" s="116"/>
      <c r="C20" s="109"/>
      <c r="D20" s="36"/>
      <c r="L20" s="30"/>
    </row>
    <row r="21" spans="2:14" ht="15.6" thickBot="1" x14ac:dyDescent="0.3">
      <c r="B21" s="117"/>
      <c r="C21" s="110"/>
      <c r="D21" s="37"/>
      <c r="E21" s="38"/>
      <c r="F21" s="38"/>
      <c r="G21" s="38"/>
      <c r="H21" s="38"/>
      <c r="I21" s="38"/>
      <c r="J21" s="38"/>
      <c r="K21" s="38"/>
      <c r="L21" s="39"/>
    </row>
    <row r="22" spans="2:14" ht="15.6" thickBot="1" x14ac:dyDescent="0.3"/>
    <row r="23" spans="2:14" x14ac:dyDescent="0.25">
      <c r="B23" s="115" t="s">
        <v>295</v>
      </c>
      <c r="C23" s="108" t="s">
        <v>520</v>
      </c>
      <c r="D23" s="22"/>
      <c r="E23" s="23"/>
      <c r="F23" s="24"/>
      <c r="G23" s="25"/>
      <c r="H23" s="25"/>
      <c r="I23" s="25"/>
      <c r="J23" s="25"/>
      <c r="K23" s="25"/>
      <c r="L23" s="26"/>
    </row>
    <row r="24" spans="2:14" ht="15.6" thickBot="1" x14ac:dyDescent="0.3">
      <c r="B24" s="116"/>
      <c r="C24" s="109"/>
      <c r="D24" s="27"/>
      <c r="E24" s="28"/>
      <c r="F24" s="29"/>
      <c r="L24" s="30"/>
    </row>
    <row r="25" spans="2:14" ht="16.2" thickBot="1" x14ac:dyDescent="0.35">
      <c r="B25" s="116"/>
      <c r="C25" s="109"/>
      <c r="D25" s="27"/>
      <c r="E25" s="31"/>
      <c r="F25" s="32" t="s">
        <v>0</v>
      </c>
      <c r="G25" s="33"/>
      <c r="H25" s="3" t="s">
        <v>2</v>
      </c>
      <c r="I25" s="33"/>
      <c r="J25" s="34" t="s">
        <v>3</v>
      </c>
      <c r="K25" s="33"/>
      <c r="L25" s="35" t="s">
        <v>4</v>
      </c>
      <c r="M25" s="2" t="str">
        <f>IF(E25="X","",IF(G25="X","",IF(I25="X","",IF(K25="X","","Elegir opción"))))</f>
        <v>Elegir opción</v>
      </c>
      <c r="N25" s="28" t="str">
        <f>IF(E25="X",3,IF(G25="X",2,IF(I25="X",1,IF(K25="X",0,"Promedio"))))</f>
        <v>Promedio</v>
      </c>
    </row>
    <row r="26" spans="2:14" ht="16.5" customHeight="1" x14ac:dyDescent="0.25">
      <c r="B26" s="116"/>
      <c r="C26" s="109"/>
      <c r="D26" s="36"/>
      <c r="L26" s="30"/>
    </row>
    <row r="27" spans="2:14" ht="69.75" customHeight="1" x14ac:dyDescent="0.25">
      <c r="B27" s="116"/>
      <c r="C27" s="109"/>
      <c r="D27" s="36"/>
      <c r="L27" s="30"/>
    </row>
    <row r="28" spans="2:14" ht="15.6" thickBot="1" x14ac:dyDescent="0.3">
      <c r="B28" s="117"/>
      <c r="C28" s="110"/>
      <c r="D28" s="37"/>
      <c r="E28" s="38"/>
      <c r="F28" s="38"/>
      <c r="G28" s="38"/>
      <c r="H28" s="38"/>
      <c r="I28" s="38"/>
      <c r="J28" s="38"/>
      <c r="K28" s="38"/>
      <c r="L28" s="39"/>
    </row>
    <row r="29" spans="2:14" ht="15.6" thickBot="1" x14ac:dyDescent="0.3"/>
    <row r="30" spans="2:14" x14ac:dyDescent="0.25">
      <c r="B30" s="115" t="s">
        <v>296</v>
      </c>
      <c r="C30" s="108" t="s">
        <v>297</v>
      </c>
      <c r="D30" s="22"/>
      <c r="E30" s="23"/>
      <c r="F30" s="24"/>
      <c r="G30" s="25"/>
      <c r="H30" s="25"/>
      <c r="I30" s="25"/>
      <c r="J30" s="25"/>
      <c r="K30" s="25"/>
      <c r="L30" s="26"/>
    </row>
    <row r="31" spans="2:14" ht="15.6" thickBot="1" x14ac:dyDescent="0.3">
      <c r="B31" s="116"/>
      <c r="C31" s="109"/>
      <c r="D31" s="27"/>
      <c r="E31" s="28"/>
      <c r="F31" s="29"/>
      <c r="L31" s="30"/>
    </row>
    <row r="32" spans="2:14" ht="16.2" thickBot="1" x14ac:dyDescent="0.35">
      <c r="B32" s="116"/>
      <c r="C32" s="109"/>
      <c r="D32" s="27"/>
      <c r="E32" s="31"/>
      <c r="F32" s="32" t="s">
        <v>0</v>
      </c>
      <c r="G32" s="33"/>
      <c r="H32" s="3" t="s">
        <v>2</v>
      </c>
      <c r="I32" s="33"/>
      <c r="J32" s="34" t="s">
        <v>3</v>
      </c>
      <c r="K32" s="33"/>
      <c r="L32" s="35" t="s">
        <v>4</v>
      </c>
      <c r="M32" s="2" t="str">
        <f>IF(E32="X","",IF(G32="X","",IF(I32="X","",IF(K32="X","","Elegir opción"))))</f>
        <v>Elegir opción</v>
      </c>
      <c r="N32" s="28" t="str">
        <f>IF(E32="X",3,IF(G32="X",2,IF(I32="X",1,IF(K32="X",0,"Promedio"))))</f>
        <v>Promedio</v>
      </c>
    </row>
    <row r="33" spans="2:14" x14ac:dyDescent="0.25">
      <c r="B33" s="116"/>
      <c r="C33" s="109"/>
      <c r="D33" s="36"/>
      <c r="L33" s="30"/>
    </row>
    <row r="34" spans="2:14" x14ac:dyDescent="0.25">
      <c r="B34" s="116"/>
      <c r="C34" s="109"/>
      <c r="D34" s="36"/>
      <c r="L34" s="30"/>
    </row>
    <row r="35" spans="2:14" ht="15.6" thickBot="1" x14ac:dyDescent="0.3">
      <c r="B35" s="117"/>
      <c r="C35" s="110"/>
      <c r="D35" s="37"/>
      <c r="E35" s="38"/>
      <c r="F35" s="38"/>
      <c r="G35" s="38"/>
      <c r="H35" s="38"/>
      <c r="I35" s="38"/>
      <c r="J35" s="38"/>
      <c r="K35" s="38"/>
      <c r="L35" s="39"/>
    </row>
    <row r="37" spans="2:14" ht="15.6" x14ac:dyDescent="0.3">
      <c r="E37" s="3"/>
      <c r="F37" s="3"/>
      <c r="G37" s="3"/>
      <c r="H37" s="3"/>
      <c r="I37" s="3"/>
      <c r="J37" s="3"/>
      <c r="K37" s="3"/>
    </row>
    <row r="38" spans="2:14" ht="15.6" x14ac:dyDescent="0.3">
      <c r="B38" s="3" t="s">
        <v>27</v>
      </c>
    </row>
    <row r="39" spans="2:14" ht="16.2" thickBot="1" x14ac:dyDescent="0.35">
      <c r="B39" s="3"/>
    </row>
    <row r="40" spans="2:14" x14ac:dyDescent="0.25">
      <c r="B40" s="115" t="s">
        <v>304</v>
      </c>
      <c r="C40" s="108" t="s">
        <v>298</v>
      </c>
      <c r="D40" s="22"/>
      <c r="E40" s="23"/>
      <c r="F40" s="24"/>
      <c r="G40" s="25"/>
      <c r="H40" s="25"/>
      <c r="I40" s="25"/>
      <c r="J40" s="25"/>
      <c r="K40" s="25"/>
      <c r="L40" s="26"/>
    </row>
    <row r="41" spans="2:14" ht="15.6" thickBot="1" x14ac:dyDescent="0.3">
      <c r="B41" s="116"/>
      <c r="C41" s="109"/>
      <c r="D41" s="27"/>
      <c r="E41" s="28"/>
      <c r="F41" s="29"/>
      <c r="L41" s="30"/>
    </row>
    <row r="42" spans="2:14" ht="16.2" thickBot="1" x14ac:dyDescent="0.35">
      <c r="B42" s="116"/>
      <c r="C42" s="109"/>
      <c r="D42" s="27"/>
      <c r="E42" s="31"/>
      <c r="F42" s="32" t="s">
        <v>0</v>
      </c>
      <c r="G42" s="33"/>
      <c r="H42" s="3" t="s">
        <v>2</v>
      </c>
      <c r="I42" s="33"/>
      <c r="J42" s="34" t="s">
        <v>3</v>
      </c>
      <c r="K42" s="33"/>
      <c r="L42" s="35" t="s">
        <v>4</v>
      </c>
      <c r="M42" s="2" t="str">
        <f>IF(E42="X","",IF(G42="X","",IF(I42="X","",IF(K42="X","","Elegir opción"))))</f>
        <v>Elegir opción</v>
      </c>
      <c r="N42" s="28" t="str">
        <f>IF(E42="X",3,IF(G42="X",2,IF(I42="X",1,IF(K42="X",0,"Promedio"))))</f>
        <v>Promedio</v>
      </c>
    </row>
    <row r="43" spans="2:14" x14ac:dyDescent="0.25">
      <c r="B43" s="116"/>
      <c r="C43" s="109"/>
      <c r="D43" s="36"/>
      <c r="L43" s="30"/>
    </row>
    <row r="44" spans="2:14" x14ac:dyDescent="0.25">
      <c r="B44" s="116"/>
      <c r="C44" s="109"/>
      <c r="D44" s="36"/>
      <c r="L44" s="30"/>
    </row>
    <row r="45" spans="2:14" ht="15.6" thickBot="1" x14ac:dyDescent="0.3">
      <c r="B45" s="117"/>
      <c r="C45" s="110"/>
      <c r="D45" s="37"/>
      <c r="E45" s="38"/>
      <c r="F45" s="38"/>
      <c r="G45" s="38"/>
      <c r="H45" s="38"/>
      <c r="I45" s="38"/>
      <c r="J45" s="38"/>
      <c r="K45" s="38"/>
      <c r="L45" s="39"/>
    </row>
    <row r="46" spans="2:14" ht="15.6" thickBot="1" x14ac:dyDescent="0.3"/>
    <row r="47" spans="2:14" ht="15" customHeight="1" x14ac:dyDescent="0.25">
      <c r="B47" s="115" t="s">
        <v>305</v>
      </c>
      <c r="C47" s="108" t="s">
        <v>299</v>
      </c>
      <c r="D47" s="22"/>
      <c r="E47" s="23"/>
      <c r="F47" s="24"/>
      <c r="G47" s="25"/>
      <c r="H47" s="25"/>
      <c r="I47" s="25"/>
      <c r="J47" s="25"/>
      <c r="K47" s="25"/>
      <c r="L47" s="26"/>
    </row>
    <row r="48" spans="2:14" ht="15.6" thickBot="1" x14ac:dyDescent="0.3">
      <c r="B48" s="116"/>
      <c r="C48" s="109"/>
      <c r="D48" s="27"/>
      <c r="E48" s="28"/>
      <c r="F48" s="29"/>
      <c r="L48" s="30"/>
    </row>
    <row r="49" spans="2:14" ht="16.2" thickBot="1" x14ac:dyDescent="0.35">
      <c r="B49" s="116"/>
      <c r="C49" s="109"/>
      <c r="D49" s="27"/>
      <c r="E49" s="31"/>
      <c r="F49" s="32" t="s">
        <v>0</v>
      </c>
      <c r="G49" s="33"/>
      <c r="H49" s="3" t="s">
        <v>2</v>
      </c>
      <c r="I49" s="33"/>
      <c r="J49" s="34" t="s">
        <v>3</v>
      </c>
      <c r="K49" s="33"/>
      <c r="L49" s="35" t="s">
        <v>4</v>
      </c>
      <c r="M49" s="2" t="str">
        <f>IF(E49="X","",IF(G49="X","",IF(I49="X","",IF(K49="X","","Elegir opción"))))</f>
        <v>Elegir opción</v>
      </c>
      <c r="N49" s="28" t="str">
        <f>IF(E49="X",3,IF(G49="X",2,IF(I49="X",1,IF(K49="X",0,"Promedio"))))</f>
        <v>Promedio</v>
      </c>
    </row>
    <row r="50" spans="2:14" x14ac:dyDescent="0.25">
      <c r="B50" s="116"/>
      <c r="C50" s="109"/>
      <c r="D50" s="36"/>
      <c r="L50" s="30"/>
    </row>
    <row r="51" spans="2:14" x14ac:dyDescent="0.25">
      <c r="B51" s="116"/>
      <c r="C51" s="109"/>
      <c r="D51" s="36"/>
      <c r="L51" s="30"/>
    </row>
    <row r="52" spans="2:14" ht="15.6" thickBot="1" x14ac:dyDescent="0.3">
      <c r="B52" s="117"/>
      <c r="C52" s="110"/>
      <c r="D52" s="37"/>
      <c r="E52" s="38"/>
      <c r="F52" s="38"/>
      <c r="G52" s="38"/>
      <c r="H52" s="38"/>
      <c r="I52" s="38"/>
      <c r="J52" s="38"/>
      <c r="K52" s="38"/>
      <c r="L52" s="39"/>
    </row>
    <row r="53" spans="2:14" ht="15.6" thickBot="1" x14ac:dyDescent="0.3"/>
    <row r="54" spans="2:14" ht="15" customHeight="1" x14ac:dyDescent="0.25">
      <c r="B54" s="115" t="s">
        <v>306</v>
      </c>
      <c r="C54" s="108" t="s">
        <v>300</v>
      </c>
      <c r="D54" s="22"/>
      <c r="E54" s="23"/>
      <c r="F54" s="24"/>
      <c r="G54" s="25"/>
      <c r="H54" s="25"/>
      <c r="I54" s="25"/>
      <c r="J54" s="25"/>
      <c r="K54" s="25"/>
      <c r="L54" s="26"/>
    </row>
    <row r="55" spans="2:14" ht="15.6" thickBot="1" x14ac:dyDescent="0.3">
      <c r="B55" s="116"/>
      <c r="C55" s="109"/>
      <c r="D55" s="27"/>
      <c r="E55" s="28"/>
      <c r="F55" s="29"/>
      <c r="L55" s="30"/>
    </row>
    <row r="56" spans="2:14" ht="16.2" thickBot="1" x14ac:dyDescent="0.35">
      <c r="B56" s="116"/>
      <c r="C56" s="109"/>
      <c r="D56" s="27"/>
      <c r="E56" s="31"/>
      <c r="F56" s="32" t="s">
        <v>0</v>
      </c>
      <c r="G56" s="33"/>
      <c r="H56" s="3" t="s">
        <v>2</v>
      </c>
      <c r="I56" s="33"/>
      <c r="J56" s="34" t="s">
        <v>3</v>
      </c>
      <c r="K56" s="33"/>
      <c r="L56" s="35" t="s">
        <v>4</v>
      </c>
      <c r="M56" s="2" t="str">
        <f>IF(E56="X","",IF(G56="X","",IF(I56="X","",IF(K56="X","","Elegir opción"))))</f>
        <v>Elegir opción</v>
      </c>
      <c r="N56" s="28" t="str">
        <f>IF(E56="X",3,IF(G56="X",2,IF(I56="X",1,IF(K56="X",0,"Promedio"))))</f>
        <v>Promedio</v>
      </c>
    </row>
    <row r="57" spans="2:14" x14ac:dyDescent="0.25">
      <c r="B57" s="116"/>
      <c r="C57" s="109"/>
      <c r="D57" s="36"/>
      <c r="L57" s="30"/>
    </row>
    <row r="58" spans="2:14" x14ac:dyDescent="0.25">
      <c r="B58" s="116"/>
      <c r="C58" s="109"/>
      <c r="D58" s="36"/>
      <c r="L58" s="30"/>
    </row>
    <row r="59" spans="2:14" ht="15.6" thickBot="1" x14ac:dyDescent="0.3">
      <c r="B59" s="117"/>
      <c r="C59" s="110"/>
      <c r="D59" s="37"/>
      <c r="E59" s="38"/>
      <c r="F59" s="38"/>
      <c r="G59" s="38"/>
      <c r="H59" s="38"/>
      <c r="I59" s="38"/>
      <c r="J59" s="38"/>
      <c r="K59" s="38"/>
      <c r="L59" s="39"/>
    </row>
    <row r="60" spans="2:14" ht="15.6" thickBot="1" x14ac:dyDescent="0.3"/>
    <row r="61" spans="2:14" ht="15" customHeight="1" x14ac:dyDescent="0.25">
      <c r="B61" s="115" t="s">
        <v>307</v>
      </c>
      <c r="C61" s="108" t="s">
        <v>301</v>
      </c>
      <c r="D61" s="22"/>
      <c r="E61" s="23"/>
      <c r="F61" s="24"/>
      <c r="G61" s="25"/>
      <c r="H61" s="25"/>
      <c r="I61" s="25"/>
      <c r="J61" s="25"/>
      <c r="K61" s="25"/>
      <c r="L61" s="26"/>
    </row>
    <row r="62" spans="2:14" ht="15.6" thickBot="1" x14ac:dyDescent="0.3">
      <c r="B62" s="116"/>
      <c r="C62" s="109"/>
      <c r="D62" s="27"/>
      <c r="E62" s="28"/>
      <c r="F62" s="29"/>
      <c r="L62" s="30"/>
    </row>
    <row r="63" spans="2:14" ht="16.2" thickBot="1" x14ac:dyDescent="0.35">
      <c r="B63" s="116"/>
      <c r="C63" s="109"/>
      <c r="D63" s="27"/>
      <c r="E63" s="31"/>
      <c r="F63" s="32" t="s">
        <v>0</v>
      </c>
      <c r="G63" s="33"/>
      <c r="H63" s="3" t="s">
        <v>2</v>
      </c>
      <c r="I63" s="33"/>
      <c r="J63" s="34" t="s">
        <v>3</v>
      </c>
      <c r="K63" s="33"/>
      <c r="L63" s="35" t="s">
        <v>4</v>
      </c>
      <c r="M63" s="2" t="str">
        <f>IF(E63="X","",IF(G63="X","",IF(I63="X","",IF(K63="X","","Elegir opción"))))</f>
        <v>Elegir opción</v>
      </c>
      <c r="N63" s="28" t="str">
        <f>IF(E63="X",3,IF(G63="X",2,IF(I63="X",1,IF(K63="X",0,"Promedio"))))</f>
        <v>Promedio</v>
      </c>
    </row>
    <row r="64" spans="2:14" x14ac:dyDescent="0.25">
      <c r="B64" s="116"/>
      <c r="C64" s="109"/>
      <c r="D64" s="36"/>
      <c r="L64" s="30"/>
    </row>
    <row r="65" spans="2:14" x14ac:dyDescent="0.25">
      <c r="B65" s="116"/>
      <c r="C65" s="109"/>
      <c r="D65" s="36"/>
      <c r="L65" s="30"/>
    </row>
    <row r="66" spans="2:14" ht="15.6" thickBot="1" x14ac:dyDescent="0.3">
      <c r="B66" s="117"/>
      <c r="C66" s="110"/>
      <c r="D66" s="37"/>
      <c r="E66" s="38"/>
      <c r="F66" s="38"/>
      <c r="G66" s="38"/>
      <c r="H66" s="38"/>
      <c r="I66" s="38"/>
      <c r="J66" s="38"/>
      <c r="K66" s="38"/>
      <c r="L66" s="39"/>
    </row>
    <row r="67" spans="2:14" ht="15.6" thickBot="1" x14ac:dyDescent="0.3"/>
    <row r="68" spans="2:14" ht="15" customHeight="1" x14ac:dyDescent="0.25">
      <c r="B68" s="115" t="s">
        <v>308</v>
      </c>
      <c r="C68" s="108" t="s">
        <v>302</v>
      </c>
      <c r="D68" s="22"/>
      <c r="E68" s="23"/>
      <c r="F68" s="24"/>
      <c r="G68" s="25"/>
      <c r="H68" s="25"/>
      <c r="I68" s="25"/>
      <c r="J68" s="25"/>
      <c r="K68" s="25"/>
      <c r="L68" s="26"/>
    </row>
    <row r="69" spans="2:14" ht="15.6" thickBot="1" x14ac:dyDescent="0.3">
      <c r="B69" s="116"/>
      <c r="C69" s="109"/>
      <c r="D69" s="27"/>
      <c r="E69" s="28"/>
      <c r="F69" s="29"/>
      <c r="L69" s="30"/>
    </row>
    <row r="70" spans="2:14" ht="16.2" thickBot="1" x14ac:dyDescent="0.35">
      <c r="B70" s="116"/>
      <c r="C70" s="109"/>
      <c r="D70" s="27"/>
      <c r="E70" s="31"/>
      <c r="F70" s="32" t="s">
        <v>0</v>
      </c>
      <c r="G70" s="33"/>
      <c r="H70" s="3" t="s">
        <v>2</v>
      </c>
      <c r="I70" s="33"/>
      <c r="J70" s="34" t="s">
        <v>3</v>
      </c>
      <c r="K70" s="33"/>
      <c r="L70" s="35" t="s">
        <v>4</v>
      </c>
      <c r="M70" s="2" t="str">
        <f>IF(E70="X","",IF(G70="X","",IF(I70="X","",IF(K70="X","","Elegir opción"))))</f>
        <v>Elegir opción</v>
      </c>
      <c r="N70" s="28" t="str">
        <f>IF(E70="X",3,IF(G70="X",2,IF(I70="X",1,IF(K70="X",0,"Promedio"))))</f>
        <v>Promedio</v>
      </c>
    </row>
    <row r="71" spans="2:14" x14ac:dyDescent="0.25">
      <c r="B71" s="116"/>
      <c r="C71" s="109"/>
      <c r="D71" s="36"/>
      <c r="L71" s="30"/>
    </row>
    <row r="72" spans="2:14" x14ac:dyDescent="0.25">
      <c r="B72" s="116"/>
      <c r="C72" s="109"/>
      <c r="D72" s="36"/>
      <c r="L72" s="30"/>
    </row>
    <row r="73" spans="2:14" ht="15.6" thickBot="1" x14ac:dyDescent="0.3">
      <c r="B73" s="117"/>
      <c r="C73" s="110"/>
      <c r="D73" s="37"/>
      <c r="E73" s="38"/>
      <c r="F73" s="38"/>
      <c r="G73" s="38"/>
      <c r="H73" s="38"/>
      <c r="I73" s="38"/>
      <c r="J73" s="38"/>
      <c r="K73" s="38"/>
      <c r="L73" s="39"/>
    </row>
    <row r="74" spans="2:14" ht="15.6" thickBot="1" x14ac:dyDescent="0.3"/>
    <row r="75" spans="2:14" ht="15" customHeight="1" x14ac:dyDescent="0.25">
      <c r="B75" s="115" t="s">
        <v>309</v>
      </c>
      <c r="C75" s="108" t="s">
        <v>302</v>
      </c>
      <c r="D75" s="22"/>
      <c r="E75" s="23"/>
      <c r="F75" s="24"/>
      <c r="G75" s="25"/>
      <c r="H75" s="25"/>
      <c r="I75" s="25"/>
      <c r="J75" s="25"/>
      <c r="K75" s="25"/>
      <c r="L75" s="26"/>
    </row>
    <row r="76" spans="2:14" ht="15.6" thickBot="1" x14ac:dyDescent="0.3">
      <c r="B76" s="116"/>
      <c r="C76" s="109"/>
      <c r="D76" s="27"/>
      <c r="E76" s="28"/>
      <c r="F76" s="29"/>
      <c r="L76" s="30"/>
    </row>
    <row r="77" spans="2:14" ht="16.2" thickBot="1" x14ac:dyDescent="0.35">
      <c r="B77" s="116"/>
      <c r="C77" s="109"/>
      <c r="D77" s="27"/>
      <c r="E77" s="31"/>
      <c r="F77" s="32" t="s">
        <v>0</v>
      </c>
      <c r="G77" s="33"/>
      <c r="H77" s="3" t="s">
        <v>2</v>
      </c>
      <c r="I77" s="33"/>
      <c r="J77" s="34" t="s">
        <v>3</v>
      </c>
      <c r="K77" s="33"/>
      <c r="L77" s="35" t="s">
        <v>4</v>
      </c>
      <c r="M77" s="2" t="str">
        <f>IF(E77="X","",IF(G77="X","",IF(I77="X","",IF(K77="X","","Elegir opción"))))</f>
        <v>Elegir opción</v>
      </c>
      <c r="N77" s="28" t="str">
        <f>IF(E77="X",3,IF(G77="X",2,IF(I77="X",1,IF(K77="X",0,"Promedio"))))</f>
        <v>Promedio</v>
      </c>
    </row>
    <row r="78" spans="2:14" x14ac:dyDescent="0.25">
      <c r="B78" s="116"/>
      <c r="C78" s="109"/>
      <c r="D78" s="36"/>
      <c r="L78" s="30"/>
    </row>
    <row r="79" spans="2:14" x14ac:dyDescent="0.25">
      <c r="B79" s="116"/>
      <c r="C79" s="109"/>
      <c r="D79" s="36"/>
      <c r="L79" s="30"/>
    </row>
    <row r="80" spans="2:14" ht="15.6" thickBot="1" x14ac:dyDescent="0.3">
      <c r="B80" s="117"/>
      <c r="C80" s="110"/>
      <c r="D80" s="37"/>
      <c r="E80" s="38"/>
      <c r="F80" s="38"/>
      <c r="G80" s="38"/>
      <c r="H80" s="38"/>
      <c r="I80" s="38"/>
      <c r="J80" s="38"/>
      <c r="K80" s="38"/>
      <c r="L80" s="39"/>
    </row>
    <row r="81" spans="2:14" ht="15.6" thickBot="1" x14ac:dyDescent="0.3"/>
    <row r="82" spans="2:14" ht="15" customHeight="1" x14ac:dyDescent="0.25">
      <c r="B82" s="115" t="s">
        <v>310</v>
      </c>
      <c r="C82" s="108" t="s">
        <v>303</v>
      </c>
      <c r="D82" s="22"/>
      <c r="E82" s="23"/>
      <c r="F82" s="24"/>
      <c r="G82" s="25"/>
      <c r="H82" s="25"/>
      <c r="I82" s="25"/>
      <c r="J82" s="25"/>
      <c r="K82" s="25"/>
      <c r="L82" s="26"/>
    </row>
    <row r="83" spans="2:14" ht="15.6" thickBot="1" x14ac:dyDescent="0.3">
      <c r="B83" s="116"/>
      <c r="C83" s="109"/>
      <c r="D83" s="27"/>
      <c r="E83" s="28"/>
      <c r="F83" s="29"/>
      <c r="L83" s="30"/>
    </row>
    <row r="84" spans="2:14" ht="16.2" thickBot="1" x14ac:dyDescent="0.35">
      <c r="B84" s="116"/>
      <c r="C84" s="109"/>
      <c r="D84" s="27"/>
      <c r="E84" s="31"/>
      <c r="F84" s="32" t="s">
        <v>0</v>
      </c>
      <c r="G84" s="33"/>
      <c r="H84" s="3" t="s">
        <v>2</v>
      </c>
      <c r="I84" s="33"/>
      <c r="J84" s="34" t="s">
        <v>3</v>
      </c>
      <c r="K84" s="33"/>
      <c r="L84" s="35" t="s">
        <v>4</v>
      </c>
      <c r="M84" s="2" t="str">
        <f>IF(E84="X","",IF(G84="X","",IF(I84="X","",IF(K84="X","","Elegir opción"))))</f>
        <v>Elegir opción</v>
      </c>
      <c r="N84" s="28" t="str">
        <f>IF(E84="X",3,IF(G84="X",2,IF(I84="X",1,IF(K84="X",0,"Promedio"))))</f>
        <v>Promedio</v>
      </c>
    </row>
    <row r="85" spans="2:14" x14ac:dyDescent="0.25">
      <c r="B85" s="116"/>
      <c r="C85" s="109"/>
      <c r="D85" s="36"/>
      <c r="L85" s="30"/>
    </row>
    <row r="86" spans="2:14" x14ac:dyDescent="0.25">
      <c r="B86" s="116"/>
      <c r="C86" s="109"/>
      <c r="D86" s="36"/>
      <c r="L86" s="30"/>
    </row>
    <row r="87" spans="2:14" ht="15.6" thickBot="1" x14ac:dyDescent="0.3">
      <c r="B87" s="117"/>
      <c r="C87" s="110"/>
      <c r="D87" s="37"/>
      <c r="E87" s="38"/>
      <c r="F87" s="38"/>
      <c r="G87" s="38"/>
      <c r="H87" s="38"/>
      <c r="I87" s="38"/>
      <c r="J87" s="38"/>
      <c r="K87" s="38"/>
      <c r="L87" s="39"/>
    </row>
    <row r="89" spans="2:14" ht="15" customHeight="1" x14ac:dyDescent="0.3">
      <c r="E89" s="3"/>
      <c r="F89" s="3"/>
      <c r="G89" s="3"/>
      <c r="H89" s="3"/>
      <c r="I89" s="3"/>
      <c r="J89" s="3"/>
      <c r="K89" s="3"/>
    </row>
    <row r="90" spans="2:14" ht="15.6" x14ac:dyDescent="0.3">
      <c r="B90" s="3" t="s">
        <v>28</v>
      </c>
    </row>
    <row r="91" spans="2:14" ht="15.6" thickBot="1" x14ac:dyDescent="0.3"/>
    <row r="92" spans="2:14" x14ac:dyDescent="0.25">
      <c r="B92" s="115" t="s">
        <v>312</v>
      </c>
      <c r="C92" s="108" t="s">
        <v>311</v>
      </c>
      <c r="D92" s="22"/>
      <c r="E92" s="23"/>
      <c r="F92" s="24"/>
      <c r="G92" s="25"/>
      <c r="H92" s="25"/>
      <c r="I92" s="25"/>
      <c r="J92" s="25"/>
      <c r="K92" s="25"/>
      <c r="L92" s="26"/>
    </row>
    <row r="93" spans="2:14" ht="15.6" thickBot="1" x14ac:dyDescent="0.3">
      <c r="B93" s="116"/>
      <c r="C93" s="109"/>
      <c r="D93" s="27"/>
      <c r="E93" s="28"/>
      <c r="F93" s="29"/>
      <c r="L93" s="30"/>
    </row>
    <row r="94" spans="2:14" ht="16.2" thickBot="1" x14ac:dyDescent="0.35">
      <c r="B94" s="116"/>
      <c r="C94" s="109"/>
      <c r="D94" s="27"/>
      <c r="E94" s="31"/>
      <c r="F94" s="32" t="s">
        <v>0</v>
      </c>
      <c r="G94" s="33"/>
      <c r="H94" s="3" t="s">
        <v>2</v>
      </c>
      <c r="I94" s="33"/>
      <c r="J94" s="34" t="s">
        <v>3</v>
      </c>
      <c r="K94" s="33"/>
      <c r="L94" s="35" t="s">
        <v>4</v>
      </c>
      <c r="M94" s="2" t="str">
        <f>IF(E94="X","",IF(G94="X","",IF(I94="X","",IF(K94="X","","Elegir opción"))))</f>
        <v>Elegir opción</v>
      </c>
      <c r="N94" s="28" t="str">
        <f>IF(E94="X",3,IF(G94="X",2,IF(I94="X",1,IF(K94="X",0,"Promedio"))))</f>
        <v>Promedio</v>
      </c>
    </row>
    <row r="95" spans="2:14" x14ac:dyDescent="0.25">
      <c r="B95" s="116"/>
      <c r="C95" s="109"/>
      <c r="D95" s="36"/>
      <c r="L95" s="30"/>
    </row>
    <row r="96" spans="2:14" x14ac:dyDescent="0.25">
      <c r="B96" s="116"/>
      <c r="C96" s="109"/>
      <c r="D96" s="36"/>
      <c r="L96" s="30"/>
    </row>
    <row r="97" spans="2:14" ht="15.6" thickBot="1" x14ac:dyDescent="0.3">
      <c r="B97" s="117"/>
      <c r="C97" s="110"/>
      <c r="D97" s="37"/>
      <c r="E97" s="38"/>
      <c r="F97" s="38"/>
      <c r="G97" s="38"/>
      <c r="H97" s="38"/>
      <c r="I97" s="38"/>
      <c r="J97" s="38"/>
      <c r="K97" s="38"/>
      <c r="L97" s="39"/>
    </row>
    <row r="98" spans="2:14" ht="15.6" thickBot="1" x14ac:dyDescent="0.3"/>
    <row r="99" spans="2:14" x14ac:dyDescent="0.25">
      <c r="B99" s="115" t="s">
        <v>317</v>
      </c>
      <c r="C99" s="108" t="s">
        <v>313</v>
      </c>
      <c r="D99" s="22"/>
      <c r="E99" s="23"/>
      <c r="F99" s="24"/>
      <c r="G99" s="25"/>
      <c r="H99" s="25"/>
      <c r="I99" s="25"/>
      <c r="J99" s="25"/>
      <c r="K99" s="25"/>
      <c r="L99" s="26"/>
    </row>
    <row r="100" spans="2:14" ht="15.6" thickBot="1" x14ac:dyDescent="0.3">
      <c r="B100" s="116"/>
      <c r="C100" s="109"/>
      <c r="D100" s="27"/>
      <c r="E100" s="28"/>
      <c r="F100" s="29"/>
      <c r="L100" s="30"/>
    </row>
    <row r="101" spans="2:14" ht="16.2" thickBot="1" x14ac:dyDescent="0.35">
      <c r="B101" s="116"/>
      <c r="C101" s="109"/>
      <c r="D101" s="27"/>
      <c r="E101" s="31"/>
      <c r="F101" s="32" t="s">
        <v>0</v>
      </c>
      <c r="G101" s="33"/>
      <c r="H101" s="3" t="s">
        <v>2</v>
      </c>
      <c r="I101" s="33"/>
      <c r="J101" s="34" t="s">
        <v>3</v>
      </c>
      <c r="K101" s="33"/>
      <c r="L101" s="35" t="s">
        <v>4</v>
      </c>
      <c r="M101" s="2" t="str">
        <f>IF(E101="X","",IF(G101="X","",IF(I101="X","",IF(K101="X","","Elegir opción"))))</f>
        <v>Elegir opción</v>
      </c>
      <c r="N101" s="28" t="str">
        <f>IF(E101="X",3,IF(G101="X",2,IF(I101="X",1,IF(K101="X",0,"Promedio"))))</f>
        <v>Promedio</v>
      </c>
    </row>
    <row r="102" spans="2:14" x14ac:dyDescent="0.25">
      <c r="B102" s="116"/>
      <c r="C102" s="109"/>
      <c r="D102" s="36"/>
      <c r="L102" s="30"/>
    </row>
    <row r="103" spans="2:14" x14ac:dyDescent="0.25">
      <c r="B103" s="116"/>
      <c r="C103" s="109"/>
      <c r="D103" s="36"/>
      <c r="L103" s="30"/>
    </row>
    <row r="104" spans="2:14" ht="15.6" thickBot="1" x14ac:dyDescent="0.3">
      <c r="B104" s="117"/>
      <c r="C104" s="110"/>
      <c r="D104" s="37"/>
      <c r="E104" s="38"/>
      <c r="F104" s="38"/>
      <c r="G104" s="38"/>
      <c r="H104" s="38"/>
      <c r="I104" s="38"/>
      <c r="J104" s="38"/>
      <c r="K104" s="38"/>
      <c r="L104" s="39"/>
    </row>
    <row r="105" spans="2:14" ht="15.6" thickBot="1" x14ac:dyDescent="0.3"/>
    <row r="106" spans="2:14" x14ac:dyDescent="0.25">
      <c r="B106" s="115" t="s">
        <v>318</v>
      </c>
      <c r="C106" s="108" t="s">
        <v>314</v>
      </c>
      <c r="D106" s="22"/>
      <c r="E106" s="23"/>
      <c r="F106" s="24"/>
      <c r="G106" s="25"/>
      <c r="H106" s="25"/>
      <c r="I106" s="25"/>
      <c r="J106" s="25"/>
      <c r="K106" s="25"/>
      <c r="L106" s="26"/>
    </row>
    <row r="107" spans="2:14" ht="15.6" thickBot="1" x14ac:dyDescent="0.3">
      <c r="B107" s="116"/>
      <c r="C107" s="109"/>
      <c r="D107" s="27"/>
      <c r="E107" s="28"/>
      <c r="F107" s="29"/>
      <c r="L107" s="30"/>
    </row>
    <row r="108" spans="2:14" ht="16.2" thickBot="1" x14ac:dyDescent="0.35">
      <c r="B108" s="116"/>
      <c r="C108" s="109"/>
      <c r="D108" s="27"/>
      <c r="E108" s="31"/>
      <c r="F108" s="32" t="s">
        <v>0</v>
      </c>
      <c r="G108" s="33"/>
      <c r="H108" s="3" t="s">
        <v>2</v>
      </c>
      <c r="I108" s="33"/>
      <c r="J108" s="34" t="s">
        <v>3</v>
      </c>
      <c r="K108" s="33"/>
      <c r="L108" s="35" t="s">
        <v>4</v>
      </c>
      <c r="M108" s="2" t="str">
        <f>IF(E108="X","",IF(G108="X","",IF(I108="X","",IF(K108="X","","Elegir opción"))))</f>
        <v>Elegir opción</v>
      </c>
      <c r="N108" s="28" t="str">
        <f>IF(E108="X",3,IF(G108="X",2,IF(I108="X",1,IF(K108="X",0,"Promedio"))))</f>
        <v>Promedio</v>
      </c>
    </row>
    <row r="109" spans="2:14" x14ac:dyDescent="0.25">
      <c r="B109" s="116"/>
      <c r="C109" s="109"/>
      <c r="D109" s="36"/>
      <c r="L109" s="30"/>
    </row>
    <row r="110" spans="2:14" x14ac:dyDescent="0.25">
      <c r="B110" s="116"/>
      <c r="C110" s="109"/>
      <c r="D110" s="36"/>
      <c r="L110" s="30"/>
    </row>
    <row r="111" spans="2:14" ht="15.6" thickBot="1" x14ac:dyDescent="0.3">
      <c r="B111" s="117"/>
      <c r="C111" s="110"/>
      <c r="D111" s="37"/>
      <c r="E111" s="38"/>
      <c r="F111" s="38"/>
      <c r="G111" s="38"/>
      <c r="H111" s="38"/>
      <c r="I111" s="38"/>
      <c r="J111" s="38"/>
      <c r="K111" s="38"/>
      <c r="L111" s="39"/>
    </row>
    <row r="112" spans="2:14" ht="15.6" thickBot="1" x14ac:dyDescent="0.3"/>
    <row r="113" spans="2:14" x14ac:dyDescent="0.25">
      <c r="B113" s="115" t="s">
        <v>319</v>
      </c>
      <c r="C113" s="108" t="s">
        <v>315</v>
      </c>
      <c r="D113" s="22"/>
      <c r="E113" s="23"/>
      <c r="F113" s="24"/>
      <c r="G113" s="25"/>
      <c r="H113" s="25"/>
      <c r="I113" s="25"/>
      <c r="J113" s="25"/>
      <c r="K113" s="25"/>
      <c r="L113" s="26"/>
    </row>
    <row r="114" spans="2:14" ht="15.6" thickBot="1" x14ac:dyDescent="0.3">
      <c r="B114" s="116"/>
      <c r="C114" s="109"/>
      <c r="D114" s="27"/>
      <c r="E114" s="28"/>
      <c r="F114" s="29"/>
      <c r="L114" s="30"/>
    </row>
    <row r="115" spans="2:14" ht="16.2" thickBot="1" x14ac:dyDescent="0.35">
      <c r="B115" s="116"/>
      <c r="C115" s="109"/>
      <c r="D115" s="27"/>
      <c r="E115" s="31"/>
      <c r="F115" s="32" t="s">
        <v>0</v>
      </c>
      <c r="G115" s="33"/>
      <c r="H115" s="3" t="s">
        <v>2</v>
      </c>
      <c r="I115" s="33"/>
      <c r="J115" s="34" t="s">
        <v>3</v>
      </c>
      <c r="K115" s="33"/>
      <c r="L115" s="35" t="s">
        <v>4</v>
      </c>
      <c r="M115" s="2" t="str">
        <f>IF(E115="X","",IF(G115="X","",IF(I115="X","",IF(K115="X","","Elegir opción"))))</f>
        <v>Elegir opción</v>
      </c>
      <c r="N115" s="28" t="str">
        <f>IF(E115="X",3,IF(G115="X",2,IF(I115="X",1,IF(K115="X",0,"Promedio"))))</f>
        <v>Promedio</v>
      </c>
    </row>
    <row r="116" spans="2:14" x14ac:dyDescent="0.25">
      <c r="B116" s="116"/>
      <c r="C116" s="109"/>
      <c r="D116" s="36"/>
      <c r="L116" s="30"/>
    </row>
    <row r="117" spans="2:14" x14ac:dyDescent="0.25">
      <c r="B117" s="116"/>
      <c r="C117" s="109"/>
      <c r="D117" s="36"/>
      <c r="L117" s="30"/>
    </row>
    <row r="118" spans="2:14" ht="15.6" thickBot="1" x14ac:dyDescent="0.3">
      <c r="B118" s="117"/>
      <c r="C118" s="110"/>
      <c r="D118" s="37"/>
      <c r="E118" s="38"/>
      <c r="F118" s="38"/>
      <c r="G118" s="38"/>
      <c r="H118" s="38"/>
      <c r="I118" s="38"/>
      <c r="J118" s="38"/>
      <c r="K118" s="38"/>
      <c r="L118" s="39"/>
    </row>
    <row r="119" spans="2:14" ht="15.6" thickBot="1" x14ac:dyDescent="0.3"/>
    <row r="120" spans="2:14" x14ac:dyDescent="0.25">
      <c r="B120" s="115" t="s">
        <v>320</v>
      </c>
      <c r="C120" s="108" t="s">
        <v>316</v>
      </c>
      <c r="D120" s="22"/>
      <c r="E120" s="23"/>
      <c r="F120" s="24"/>
      <c r="G120" s="25"/>
      <c r="H120" s="25"/>
      <c r="I120" s="25"/>
      <c r="J120" s="25"/>
      <c r="K120" s="25"/>
      <c r="L120" s="26"/>
    </row>
    <row r="121" spans="2:14" ht="15.6" thickBot="1" x14ac:dyDescent="0.3">
      <c r="B121" s="116"/>
      <c r="C121" s="109"/>
      <c r="D121" s="27"/>
      <c r="E121" s="28"/>
      <c r="F121" s="29"/>
      <c r="L121" s="30"/>
    </row>
    <row r="122" spans="2:14" ht="16.2" thickBot="1" x14ac:dyDescent="0.35">
      <c r="B122" s="116"/>
      <c r="C122" s="109"/>
      <c r="D122" s="27"/>
      <c r="E122" s="31"/>
      <c r="F122" s="32" t="s">
        <v>0</v>
      </c>
      <c r="G122" s="33"/>
      <c r="H122" s="3" t="s">
        <v>2</v>
      </c>
      <c r="I122" s="33"/>
      <c r="J122" s="34" t="s">
        <v>3</v>
      </c>
      <c r="K122" s="33"/>
      <c r="L122" s="35" t="s">
        <v>4</v>
      </c>
      <c r="M122" s="2" t="str">
        <f>IF(E122="X","",IF(G122="X","",IF(I122="X","",IF(K122="X","","Elegir opción"))))</f>
        <v>Elegir opción</v>
      </c>
      <c r="N122" s="28" t="str">
        <f>IF(E122="X",3,IF(G122="X",2,IF(I122="X",1,IF(K122="X",0,"Promedio"))))</f>
        <v>Promedio</v>
      </c>
    </row>
    <row r="123" spans="2:14" x14ac:dyDescent="0.25">
      <c r="B123" s="116"/>
      <c r="C123" s="109"/>
      <c r="D123" s="36"/>
      <c r="L123" s="30"/>
    </row>
    <row r="124" spans="2:14" x14ac:dyDescent="0.25">
      <c r="B124" s="116"/>
      <c r="C124" s="109"/>
      <c r="D124" s="36"/>
      <c r="L124" s="30"/>
    </row>
    <row r="125" spans="2:14" ht="15.6" thickBot="1" x14ac:dyDescent="0.3">
      <c r="B125" s="117"/>
      <c r="C125" s="110"/>
      <c r="D125" s="37"/>
      <c r="E125" s="38"/>
      <c r="F125" s="38"/>
      <c r="G125" s="38"/>
      <c r="H125" s="38"/>
      <c r="I125" s="38"/>
      <c r="J125" s="38"/>
      <c r="K125" s="38"/>
      <c r="L125" s="39"/>
    </row>
    <row r="126" spans="2:14" ht="15.6" thickBot="1" x14ac:dyDescent="0.3"/>
    <row r="127" spans="2:14" x14ac:dyDescent="0.25">
      <c r="B127" s="115" t="s">
        <v>321</v>
      </c>
      <c r="C127" s="108" t="s">
        <v>521</v>
      </c>
      <c r="D127" s="22"/>
      <c r="E127" s="23"/>
      <c r="F127" s="24"/>
      <c r="G127" s="25"/>
      <c r="H127" s="25"/>
      <c r="I127" s="25"/>
      <c r="J127" s="25"/>
      <c r="K127" s="25"/>
      <c r="L127" s="26"/>
    </row>
    <row r="128" spans="2:14" ht="15.6" thickBot="1" x14ac:dyDescent="0.3">
      <c r="B128" s="116"/>
      <c r="C128" s="109"/>
      <c r="D128" s="27"/>
      <c r="E128" s="28"/>
      <c r="F128" s="29"/>
      <c r="L128" s="30"/>
    </row>
    <row r="129" spans="2:14" ht="16.2" thickBot="1" x14ac:dyDescent="0.35">
      <c r="B129" s="116"/>
      <c r="C129" s="109"/>
      <c r="D129" s="27"/>
      <c r="E129" s="31"/>
      <c r="F129" s="32" t="s">
        <v>0</v>
      </c>
      <c r="G129" s="33"/>
      <c r="H129" s="3" t="s">
        <v>2</v>
      </c>
      <c r="I129" s="33"/>
      <c r="J129" s="34" t="s">
        <v>3</v>
      </c>
      <c r="K129" s="33"/>
      <c r="L129" s="35" t="s">
        <v>4</v>
      </c>
      <c r="M129" s="2" t="str">
        <f>IF(E129="X","",IF(G129="X","",IF(I129="X","",IF(K129="X","","Elegir opción"))))</f>
        <v>Elegir opción</v>
      </c>
      <c r="N129" s="28" t="str">
        <f>IF(E129="X",3,IF(G129="X",2,IF(I129="X",1,IF(K129="X",0,"Promedio"))))</f>
        <v>Promedio</v>
      </c>
    </row>
    <row r="130" spans="2:14" x14ac:dyDescent="0.25">
      <c r="B130" s="116"/>
      <c r="C130" s="109"/>
      <c r="D130" s="36"/>
      <c r="L130" s="30"/>
    </row>
    <row r="131" spans="2:14" x14ac:dyDescent="0.25">
      <c r="B131" s="116"/>
      <c r="C131" s="109"/>
      <c r="D131" s="36"/>
      <c r="L131" s="30"/>
    </row>
    <row r="132" spans="2:14" ht="15.6" thickBot="1" x14ac:dyDescent="0.3">
      <c r="B132" s="117"/>
      <c r="C132" s="110"/>
      <c r="D132" s="37"/>
      <c r="E132" s="38"/>
      <c r="F132" s="38"/>
      <c r="G132" s="38"/>
      <c r="H132" s="38"/>
      <c r="I132" s="38"/>
      <c r="J132" s="38"/>
      <c r="K132" s="38"/>
      <c r="L132" s="39"/>
    </row>
    <row r="135" spans="2:14" ht="15.6" x14ac:dyDescent="0.3">
      <c r="E135" s="3"/>
      <c r="F135" s="3"/>
      <c r="G135" s="3"/>
      <c r="H135" s="3"/>
      <c r="I135" s="3"/>
      <c r="J135" s="3"/>
      <c r="K135" s="3"/>
    </row>
    <row r="136" spans="2:14" ht="15.6" x14ac:dyDescent="0.3">
      <c r="B136" s="3" t="s">
        <v>504</v>
      </c>
    </row>
    <row r="137" spans="2:14" ht="15.6" thickBot="1" x14ac:dyDescent="0.3"/>
    <row r="138" spans="2:14" x14ac:dyDescent="0.25">
      <c r="B138" s="115" t="s">
        <v>323</v>
      </c>
      <c r="C138" s="108" t="s">
        <v>322</v>
      </c>
      <c r="D138" s="22"/>
      <c r="E138" s="23"/>
      <c r="F138" s="24"/>
      <c r="G138" s="25"/>
      <c r="H138" s="25"/>
      <c r="I138" s="25"/>
      <c r="J138" s="25"/>
      <c r="K138" s="25"/>
      <c r="L138" s="26"/>
    </row>
    <row r="139" spans="2:14" ht="15.6" thickBot="1" x14ac:dyDescent="0.3">
      <c r="B139" s="116"/>
      <c r="C139" s="109"/>
      <c r="D139" s="27"/>
      <c r="E139" s="28"/>
      <c r="F139" s="29"/>
      <c r="L139" s="30"/>
    </row>
    <row r="140" spans="2:14" ht="16.2" thickBot="1" x14ac:dyDescent="0.35">
      <c r="B140" s="116"/>
      <c r="C140" s="109"/>
      <c r="D140" s="27"/>
      <c r="E140" s="31"/>
      <c r="F140" s="32" t="s">
        <v>0</v>
      </c>
      <c r="G140" s="33"/>
      <c r="H140" s="3" t="s">
        <v>2</v>
      </c>
      <c r="I140" s="33"/>
      <c r="J140" s="34" t="s">
        <v>3</v>
      </c>
      <c r="K140" s="33"/>
      <c r="L140" s="35" t="s">
        <v>4</v>
      </c>
      <c r="M140" s="2" t="str">
        <f>IF(E140="X","",IF(G140="X","",IF(I140="X","",IF(K140="X","","Elegir opción"))))</f>
        <v>Elegir opción</v>
      </c>
      <c r="N140" s="28" t="str">
        <f>IF(E140="X",3,IF(G140="X",2,IF(I140="X",1,IF(K140="X",0,"Promedio"))))</f>
        <v>Promedio</v>
      </c>
    </row>
    <row r="141" spans="2:14" x14ac:dyDescent="0.25">
      <c r="B141" s="116"/>
      <c r="C141" s="109"/>
      <c r="D141" s="36"/>
      <c r="L141" s="30"/>
    </row>
    <row r="142" spans="2:14" x14ac:dyDescent="0.25">
      <c r="B142" s="116"/>
      <c r="C142" s="109"/>
      <c r="D142" s="36"/>
      <c r="L142" s="30"/>
    </row>
    <row r="143" spans="2:14" ht="15.6" thickBot="1" x14ac:dyDescent="0.3">
      <c r="B143" s="117"/>
      <c r="C143" s="110"/>
      <c r="D143" s="37"/>
      <c r="E143" s="38"/>
      <c r="F143" s="38"/>
      <c r="G143" s="38"/>
      <c r="H143" s="38"/>
      <c r="I143" s="38"/>
      <c r="J143" s="38"/>
      <c r="K143" s="38"/>
      <c r="L143" s="39"/>
    </row>
    <row r="144" spans="2:14" ht="15.6" thickBot="1" x14ac:dyDescent="0.3"/>
    <row r="145" spans="2:14" x14ac:dyDescent="0.25">
      <c r="B145" s="115" t="s">
        <v>324</v>
      </c>
      <c r="C145" s="108" t="s">
        <v>325</v>
      </c>
      <c r="D145" s="22"/>
      <c r="E145" s="23"/>
      <c r="F145" s="24"/>
      <c r="G145" s="25"/>
      <c r="H145" s="25"/>
      <c r="I145" s="25"/>
      <c r="J145" s="25"/>
      <c r="K145" s="25"/>
      <c r="L145" s="26"/>
    </row>
    <row r="146" spans="2:14" ht="15.6" thickBot="1" x14ac:dyDescent="0.3">
      <c r="B146" s="116"/>
      <c r="C146" s="109"/>
      <c r="D146" s="27"/>
      <c r="E146" s="28"/>
      <c r="F146" s="29"/>
      <c r="L146" s="30"/>
    </row>
    <row r="147" spans="2:14" ht="16.2" thickBot="1" x14ac:dyDescent="0.35">
      <c r="B147" s="116"/>
      <c r="C147" s="109"/>
      <c r="D147" s="27"/>
      <c r="E147" s="31"/>
      <c r="F147" s="32" t="s">
        <v>0</v>
      </c>
      <c r="G147" s="33"/>
      <c r="H147" s="3" t="s">
        <v>2</v>
      </c>
      <c r="I147" s="33"/>
      <c r="J147" s="34" t="s">
        <v>3</v>
      </c>
      <c r="K147" s="33"/>
      <c r="L147" s="35" t="s">
        <v>4</v>
      </c>
      <c r="M147" s="2" t="str">
        <f>IF(E147="X","",IF(G147="X","",IF(I147="X","",IF(K147="X","","Elegir opción"))))</f>
        <v>Elegir opción</v>
      </c>
      <c r="N147" s="28" t="str">
        <f>IF(E147="X",3,IF(G147="X",2,IF(I147="X",1,IF(K147="X",0,"Promedio"))))</f>
        <v>Promedio</v>
      </c>
    </row>
    <row r="148" spans="2:14" x14ac:dyDescent="0.25">
      <c r="B148" s="116"/>
      <c r="C148" s="109"/>
      <c r="D148" s="36"/>
      <c r="L148" s="30"/>
    </row>
    <row r="149" spans="2:14" ht="24.75" customHeight="1" x14ac:dyDescent="0.25">
      <c r="B149" s="116"/>
      <c r="C149" s="109"/>
      <c r="D149" s="36"/>
      <c r="L149" s="30"/>
    </row>
    <row r="150" spans="2:14" ht="15.6" thickBot="1" x14ac:dyDescent="0.3">
      <c r="B150" s="117"/>
      <c r="C150" s="110"/>
      <c r="D150" s="37"/>
      <c r="E150" s="38"/>
      <c r="F150" s="38"/>
      <c r="G150" s="38"/>
      <c r="H150" s="38"/>
      <c r="I150" s="38"/>
      <c r="J150" s="38"/>
      <c r="K150" s="38"/>
      <c r="L150" s="39"/>
    </row>
    <row r="151" spans="2:14" ht="15.6" thickBot="1" x14ac:dyDescent="0.3"/>
    <row r="152" spans="2:14" x14ac:dyDescent="0.25">
      <c r="B152" s="115" t="s">
        <v>328</v>
      </c>
      <c r="C152" s="108" t="s">
        <v>522</v>
      </c>
      <c r="D152" s="22"/>
      <c r="E152" s="23"/>
      <c r="F152" s="24"/>
      <c r="G152" s="25"/>
      <c r="H152" s="25"/>
      <c r="I152" s="25"/>
      <c r="J152" s="25"/>
      <c r="K152" s="25"/>
      <c r="L152" s="26"/>
    </row>
    <row r="153" spans="2:14" ht="15.6" thickBot="1" x14ac:dyDescent="0.3">
      <c r="B153" s="116"/>
      <c r="C153" s="109"/>
      <c r="D153" s="27"/>
      <c r="E153" s="28"/>
      <c r="F153" s="29"/>
      <c r="L153" s="30"/>
    </row>
    <row r="154" spans="2:14" ht="16.2" thickBot="1" x14ac:dyDescent="0.35">
      <c r="B154" s="116"/>
      <c r="C154" s="109"/>
      <c r="D154" s="27"/>
      <c r="E154" s="31"/>
      <c r="F154" s="32" t="s">
        <v>0</v>
      </c>
      <c r="G154" s="33"/>
      <c r="H154" s="3" t="s">
        <v>2</v>
      </c>
      <c r="I154" s="33"/>
      <c r="J154" s="34" t="s">
        <v>3</v>
      </c>
      <c r="K154" s="33"/>
      <c r="L154" s="35" t="s">
        <v>4</v>
      </c>
      <c r="M154" s="2" t="str">
        <f>IF(E154="X","",IF(G154="X","",IF(I154="X","",IF(K154="X","","Elegir opción"))))</f>
        <v>Elegir opción</v>
      </c>
      <c r="N154" s="28" t="str">
        <f>IF(E154="X",3,IF(G154="X",2,IF(I154="X",1,IF(K154="X",0,"Promedio"))))</f>
        <v>Promedio</v>
      </c>
    </row>
    <row r="155" spans="2:14" x14ac:dyDescent="0.25">
      <c r="B155" s="116"/>
      <c r="C155" s="109"/>
      <c r="D155" s="36"/>
      <c r="L155" s="30"/>
    </row>
    <row r="156" spans="2:14" x14ac:dyDescent="0.25">
      <c r="B156" s="116"/>
      <c r="C156" s="109"/>
      <c r="D156" s="36"/>
      <c r="L156" s="30"/>
    </row>
    <row r="157" spans="2:14" ht="15.6" thickBot="1" x14ac:dyDescent="0.3">
      <c r="B157" s="117"/>
      <c r="C157" s="110"/>
      <c r="D157" s="37"/>
      <c r="E157" s="38"/>
      <c r="F157" s="38"/>
      <c r="G157" s="38"/>
      <c r="H157" s="38"/>
      <c r="I157" s="38"/>
      <c r="J157" s="38"/>
      <c r="K157" s="38"/>
      <c r="L157" s="39"/>
    </row>
    <row r="158" spans="2:14" ht="15.6" thickBot="1" x14ac:dyDescent="0.3"/>
    <row r="159" spans="2:14" x14ac:dyDescent="0.25">
      <c r="B159" s="115" t="s">
        <v>329</v>
      </c>
      <c r="C159" s="108" t="s">
        <v>523</v>
      </c>
      <c r="D159" s="22"/>
      <c r="E159" s="23"/>
      <c r="F159" s="24"/>
      <c r="G159" s="25"/>
      <c r="H159" s="25"/>
      <c r="I159" s="25"/>
      <c r="J159" s="25"/>
      <c r="K159" s="25"/>
      <c r="L159" s="26"/>
    </row>
    <row r="160" spans="2:14" ht="15.6" thickBot="1" x14ac:dyDescent="0.3">
      <c r="B160" s="116"/>
      <c r="C160" s="109"/>
      <c r="D160" s="27"/>
      <c r="E160" s="28"/>
      <c r="F160" s="29"/>
      <c r="L160" s="30"/>
    </row>
    <row r="161" spans="2:14" ht="16.2" thickBot="1" x14ac:dyDescent="0.35">
      <c r="B161" s="116"/>
      <c r="C161" s="109"/>
      <c r="D161" s="27"/>
      <c r="E161" s="31"/>
      <c r="F161" s="32" t="s">
        <v>0</v>
      </c>
      <c r="G161" s="33"/>
      <c r="H161" s="3" t="s">
        <v>2</v>
      </c>
      <c r="I161" s="33"/>
      <c r="J161" s="34" t="s">
        <v>3</v>
      </c>
      <c r="K161" s="33"/>
      <c r="L161" s="35" t="s">
        <v>4</v>
      </c>
      <c r="M161" s="2" t="str">
        <f>IF(E161="X","",IF(G161="X","",IF(I161="X","",IF(K161="X","","Elegir opción"))))</f>
        <v>Elegir opción</v>
      </c>
      <c r="N161" s="28" t="str">
        <f>IF(E161="X",3,IF(G161="X",2,IF(I161="X",1,IF(K161="X",0,"Promedio"))))</f>
        <v>Promedio</v>
      </c>
    </row>
    <row r="162" spans="2:14" x14ac:dyDescent="0.25">
      <c r="B162" s="116"/>
      <c r="C162" s="109"/>
      <c r="D162" s="36"/>
      <c r="L162" s="30"/>
    </row>
    <row r="163" spans="2:14" x14ac:dyDescent="0.25">
      <c r="B163" s="116"/>
      <c r="C163" s="109"/>
      <c r="D163" s="36"/>
      <c r="L163" s="30"/>
    </row>
    <row r="164" spans="2:14" ht="15.6" thickBot="1" x14ac:dyDescent="0.3">
      <c r="B164" s="117"/>
      <c r="C164" s="110"/>
      <c r="D164" s="37"/>
      <c r="E164" s="38"/>
      <c r="F164" s="38"/>
      <c r="G164" s="38"/>
      <c r="H164" s="38"/>
      <c r="I164" s="38"/>
      <c r="J164" s="38"/>
      <c r="K164" s="38"/>
      <c r="L164" s="39"/>
    </row>
    <row r="165" spans="2:14" ht="15.6" thickBot="1" x14ac:dyDescent="0.3"/>
    <row r="166" spans="2:14" x14ac:dyDescent="0.25">
      <c r="B166" s="115" t="s">
        <v>330</v>
      </c>
      <c r="C166" s="108" t="s">
        <v>326</v>
      </c>
      <c r="D166" s="22"/>
      <c r="E166" s="23"/>
      <c r="F166" s="24"/>
      <c r="G166" s="25"/>
      <c r="H166" s="25"/>
      <c r="I166" s="25"/>
      <c r="J166" s="25"/>
      <c r="K166" s="25"/>
      <c r="L166" s="26"/>
    </row>
    <row r="167" spans="2:14" ht="15.6" thickBot="1" x14ac:dyDescent="0.3">
      <c r="B167" s="116"/>
      <c r="C167" s="109"/>
      <c r="D167" s="27"/>
      <c r="E167" s="28"/>
      <c r="F167" s="29"/>
      <c r="L167" s="30"/>
    </row>
    <row r="168" spans="2:14" ht="16.2" thickBot="1" x14ac:dyDescent="0.35">
      <c r="B168" s="116"/>
      <c r="C168" s="109"/>
      <c r="D168" s="27"/>
      <c r="E168" s="31"/>
      <c r="F168" s="32" t="s">
        <v>0</v>
      </c>
      <c r="G168" s="33"/>
      <c r="H168" s="3" t="s">
        <v>2</v>
      </c>
      <c r="I168" s="33"/>
      <c r="J168" s="34" t="s">
        <v>3</v>
      </c>
      <c r="K168" s="33"/>
      <c r="L168" s="35" t="s">
        <v>4</v>
      </c>
      <c r="M168" s="2" t="str">
        <f>IF(E168="X","",IF(G168="X","",IF(I168="X","",IF(K168="X","","Elegir opción"))))</f>
        <v>Elegir opción</v>
      </c>
      <c r="N168" s="28" t="str">
        <f>IF(E168="X",3,IF(G168="X",2,IF(I168="X",1,IF(K168="X",0,"Promedio"))))</f>
        <v>Promedio</v>
      </c>
    </row>
    <row r="169" spans="2:14" x14ac:dyDescent="0.25">
      <c r="B169" s="116"/>
      <c r="C169" s="109"/>
      <c r="D169" s="36"/>
      <c r="L169" s="30"/>
    </row>
    <row r="170" spans="2:14" x14ac:dyDescent="0.25">
      <c r="B170" s="116"/>
      <c r="C170" s="109"/>
      <c r="D170" s="36"/>
      <c r="L170" s="30"/>
    </row>
    <row r="171" spans="2:14" ht="15.6" thickBot="1" x14ac:dyDescent="0.3">
      <c r="B171" s="117"/>
      <c r="C171" s="110"/>
      <c r="D171" s="37"/>
      <c r="E171" s="38"/>
      <c r="F171" s="38"/>
      <c r="G171" s="38"/>
      <c r="H171" s="38"/>
      <c r="I171" s="38"/>
      <c r="J171" s="38"/>
      <c r="K171" s="38"/>
      <c r="L171" s="39"/>
    </row>
    <row r="172" spans="2:14" ht="15.6" thickBot="1" x14ac:dyDescent="0.3"/>
    <row r="173" spans="2:14" x14ac:dyDescent="0.25">
      <c r="B173" s="115" t="s">
        <v>331</v>
      </c>
      <c r="C173" s="108" t="s">
        <v>327</v>
      </c>
      <c r="D173" s="22"/>
      <c r="E173" s="23"/>
      <c r="F173" s="24"/>
      <c r="G173" s="25"/>
      <c r="H173" s="25"/>
      <c r="I173" s="25"/>
      <c r="J173" s="25"/>
      <c r="K173" s="25"/>
      <c r="L173" s="26"/>
    </row>
    <row r="174" spans="2:14" ht="15.6" thickBot="1" x14ac:dyDescent="0.3">
      <c r="B174" s="116"/>
      <c r="C174" s="109"/>
      <c r="D174" s="27"/>
      <c r="E174" s="28"/>
      <c r="F174" s="29"/>
      <c r="L174" s="30"/>
    </row>
    <row r="175" spans="2:14" ht="16.2" thickBot="1" x14ac:dyDescent="0.35">
      <c r="B175" s="116"/>
      <c r="C175" s="109"/>
      <c r="D175" s="27"/>
      <c r="E175" s="31"/>
      <c r="F175" s="32" t="s">
        <v>0</v>
      </c>
      <c r="G175" s="33"/>
      <c r="H175" s="3" t="s">
        <v>2</v>
      </c>
      <c r="I175" s="33"/>
      <c r="J175" s="34" t="s">
        <v>3</v>
      </c>
      <c r="K175" s="33"/>
      <c r="L175" s="35" t="s">
        <v>4</v>
      </c>
      <c r="M175" s="2" t="str">
        <f>IF(E175="X","",IF(G175="X","",IF(I175="X","",IF(K175="X","","Elegir opción"))))</f>
        <v>Elegir opción</v>
      </c>
      <c r="N175" s="28" t="str">
        <f>IF(E175="X",3,IF(G175="X",2,IF(I175="X",1,IF(K175="X",0,"Promedio"))))</f>
        <v>Promedio</v>
      </c>
    </row>
    <row r="176" spans="2:14" x14ac:dyDescent="0.25">
      <c r="B176" s="116"/>
      <c r="C176" s="109"/>
      <c r="D176" s="36"/>
      <c r="L176" s="30"/>
    </row>
    <row r="177" spans="2:14" x14ac:dyDescent="0.25">
      <c r="B177" s="116"/>
      <c r="C177" s="109"/>
      <c r="D177" s="36"/>
      <c r="L177" s="30"/>
    </row>
    <row r="178" spans="2:14" ht="15.6" thickBot="1" x14ac:dyDescent="0.3">
      <c r="B178" s="117"/>
      <c r="C178" s="110"/>
      <c r="D178" s="37"/>
      <c r="E178" s="38"/>
      <c r="F178" s="38"/>
      <c r="G178" s="38"/>
      <c r="H178" s="38"/>
      <c r="I178" s="38"/>
      <c r="J178" s="38"/>
      <c r="K178" s="38"/>
      <c r="L178" s="39"/>
    </row>
    <row r="180" spans="2:14" ht="15.6" x14ac:dyDescent="0.3">
      <c r="B180" s="3" t="s">
        <v>332</v>
      </c>
    </row>
    <row r="181" spans="2:14" ht="15.6" thickBot="1" x14ac:dyDescent="0.3"/>
    <row r="182" spans="2:14" x14ac:dyDescent="0.25">
      <c r="B182" s="115" t="s">
        <v>339</v>
      </c>
      <c r="C182" s="108" t="s">
        <v>333</v>
      </c>
      <c r="D182" s="22"/>
      <c r="E182" s="23"/>
      <c r="F182" s="24"/>
      <c r="G182" s="25"/>
      <c r="H182" s="25"/>
      <c r="I182" s="25"/>
      <c r="J182" s="25"/>
      <c r="K182" s="25"/>
      <c r="L182" s="26"/>
    </row>
    <row r="183" spans="2:14" ht="15.6" thickBot="1" x14ac:dyDescent="0.3">
      <c r="B183" s="116"/>
      <c r="C183" s="109"/>
      <c r="D183" s="27"/>
      <c r="E183" s="28"/>
      <c r="F183" s="29"/>
      <c r="L183" s="30"/>
    </row>
    <row r="184" spans="2:14" ht="16.2" thickBot="1" x14ac:dyDescent="0.35">
      <c r="B184" s="116"/>
      <c r="C184" s="109"/>
      <c r="D184" s="27"/>
      <c r="E184" s="31"/>
      <c r="F184" s="32" t="s">
        <v>0</v>
      </c>
      <c r="G184" s="33"/>
      <c r="H184" s="3" t="s">
        <v>2</v>
      </c>
      <c r="I184" s="33"/>
      <c r="J184" s="34" t="s">
        <v>3</v>
      </c>
      <c r="K184" s="33"/>
      <c r="L184" s="35" t="s">
        <v>4</v>
      </c>
      <c r="M184" s="2" t="str">
        <f>IF(E184="X","",IF(G184="X","",IF(I184="X","",IF(K184="X","","Elegir opción"))))</f>
        <v>Elegir opción</v>
      </c>
      <c r="N184" s="28" t="str">
        <f>IF(E184="X",3,IF(G184="X",2,IF(I184="X",1,IF(K184="X",0,"Promedio"))))</f>
        <v>Promedio</v>
      </c>
    </row>
    <row r="185" spans="2:14" x14ac:dyDescent="0.25">
      <c r="B185" s="116"/>
      <c r="C185" s="109"/>
      <c r="D185" s="36"/>
      <c r="L185" s="30"/>
    </row>
    <row r="186" spans="2:14" x14ac:dyDescent="0.25">
      <c r="B186" s="116"/>
      <c r="C186" s="109"/>
      <c r="D186" s="36"/>
      <c r="L186" s="30"/>
    </row>
    <row r="187" spans="2:14" ht="15.6" thickBot="1" x14ac:dyDescent="0.3">
      <c r="B187" s="117"/>
      <c r="C187" s="110"/>
      <c r="D187" s="37"/>
      <c r="E187" s="38"/>
      <c r="F187" s="38"/>
      <c r="G187" s="38"/>
      <c r="H187" s="38"/>
      <c r="I187" s="38"/>
      <c r="J187" s="38"/>
      <c r="K187" s="38"/>
      <c r="L187" s="39"/>
    </row>
    <row r="188" spans="2:14" ht="15.6" thickBot="1" x14ac:dyDescent="0.3"/>
    <row r="189" spans="2:14" x14ac:dyDescent="0.25">
      <c r="B189" s="115" t="s">
        <v>340</v>
      </c>
      <c r="C189" s="108" t="s">
        <v>334</v>
      </c>
      <c r="D189" s="22"/>
      <c r="E189" s="23"/>
      <c r="F189" s="24"/>
      <c r="G189" s="25"/>
      <c r="H189" s="25"/>
      <c r="I189" s="25"/>
      <c r="J189" s="25"/>
      <c r="K189" s="25"/>
      <c r="L189" s="26"/>
    </row>
    <row r="190" spans="2:14" ht="15.6" thickBot="1" x14ac:dyDescent="0.3">
      <c r="B190" s="116"/>
      <c r="C190" s="109"/>
      <c r="D190" s="27"/>
      <c r="E190" s="28"/>
      <c r="F190" s="29"/>
      <c r="L190" s="30"/>
    </row>
    <row r="191" spans="2:14" ht="16.2" thickBot="1" x14ac:dyDescent="0.35">
      <c r="B191" s="116"/>
      <c r="C191" s="109"/>
      <c r="D191" s="27"/>
      <c r="E191" s="31"/>
      <c r="F191" s="32" t="s">
        <v>0</v>
      </c>
      <c r="G191" s="33"/>
      <c r="H191" s="3" t="s">
        <v>2</v>
      </c>
      <c r="I191" s="33"/>
      <c r="J191" s="34" t="s">
        <v>3</v>
      </c>
      <c r="K191" s="33"/>
      <c r="L191" s="35" t="s">
        <v>4</v>
      </c>
      <c r="M191" s="2" t="str">
        <f>IF(E191="X","",IF(G191="X","",IF(I191="X","",IF(K191="X","","Elegir opción"))))</f>
        <v>Elegir opción</v>
      </c>
      <c r="N191" s="28" t="str">
        <f>IF(E191="X",3,IF(G191="X",2,IF(I191="X",1,IF(K191="X",0,"Promedio"))))</f>
        <v>Promedio</v>
      </c>
    </row>
    <row r="192" spans="2:14" x14ac:dyDescent="0.25">
      <c r="B192" s="116"/>
      <c r="C192" s="109"/>
      <c r="D192" s="36"/>
      <c r="L192" s="30"/>
    </row>
    <row r="193" spans="2:14" x14ac:dyDescent="0.25">
      <c r="B193" s="116"/>
      <c r="C193" s="109"/>
      <c r="D193" s="36"/>
      <c r="L193" s="30"/>
    </row>
    <row r="194" spans="2:14" ht="15.6" thickBot="1" x14ac:dyDescent="0.3">
      <c r="B194" s="117"/>
      <c r="C194" s="110"/>
      <c r="D194" s="37"/>
      <c r="E194" s="38"/>
      <c r="F194" s="38"/>
      <c r="G194" s="38"/>
      <c r="H194" s="38"/>
      <c r="I194" s="38"/>
      <c r="J194" s="38"/>
      <c r="K194" s="38"/>
      <c r="L194" s="39"/>
    </row>
    <row r="195" spans="2:14" ht="15.6" thickBot="1" x14ac:dyDescent="0.3"/>
    <row r="196" spans="2:14" x14ac:dyDescent="0.25">
      <c r="B196" s="115" t="s">
        <v>341</v>
      </c>
      <c r="C196" s="108" t="s">
        <v>335</v>
      </c>
      <c r="D196" s="22"/>
      <c r="E196" s="23"/>
      <c r="F196" s="24"/>
      <c r="G196" s="25"/>
      <c r="H196" s="25"/>
      <c r="I196" s="25"/>
      <c r="J196" s="25"/>
      <c r="K196" s="25"/>
      <c r="L196" s="26"/>
    </row>
    <row r="197" spans="2:14" ht="15.6" thickBot="1" x14ac:dyDescent="0.3">
      <c r="B197" s="116"/>
      <c r="C197" s="109"/>
      <c r="D197" s="27"/>
      <c r="E197" s="28"/>
      <c r="F197" s="29"/>
      <c r="L197" s="30"/>
    </row>
    <row r="198" spans="2:14" ht="16.2" thickBot="1" x14ac:dyDescent="0.35">
      <c r="B198" s="116"/>
      <c r="C198" s="109"/>
      <c r="D198" s="27"/>
      <c r="E198" s="31"/>
      <c r="F198" s="32" t="s">
        <v>0</v>
      </c>
      <c r="G198" s="33"/>
      <c r="H198" s="3" t="s">
        <v>2</v>
      </c>
      <c r="I198" s="33"/>
      <c r="J198" s="34" t="s">
        <v>3</v>
      </c>
      <c r="K198" s="33"/>
      <c r="L198" s="35" t="s">
        <v>4</v>
      </c>
      <c r="M198" s="2" t="str">
        <f>IF(E198="X","",IF(G198="X","",IF(I198="X","",IF(K198="X","","Elegir opción"))))</f>
        <v>Elegir opción</v>
      </c>
      <c r="N198" s="28" t="str">
        <f>IF(E198="X",3,IF(G198="X",2,IF(I198="X",1,IF(K198="X",0,"Promedio"))))</f>
        <v>Promedio</v>
      </c>
    </row>
    <row r="199" spans="2:14" x14ac:dyDescent="0.25">
      <c r="B199" s="116"/>
      <c r="C199" s="109"/>
      <c r="D199" s="36"/>
      <c r="L199" s="30"/>
    </row>
    <row r="200" spans="2:14" x14ac:dyDescent="0.25">
      <c r="B200" s="116"/>
      <c r="C200" s="109"/>
      <c r="D200" s="36"/>
      <c r="L200" s="30"/>
    </row>
    <row r="201" spans="2:14" ht="15.6" thickBot="1" x14ac:dyDescent="0.3">
      <c r="B201" s="117"/>
      <c r="C201" s="110"/>
      <c r="D201" s="37"/>
      <c r="E201" s="38"/>
      <c r="F201" s="38"/>
      <c r="G201" s="38"/>
      <c r="H201" s="38"/>
      <c r="I201" s="38"/>
      <c r="J201" s="38"/>
      <c r="K201" s="38"/>
      <c r="L201" s="39"/>
    </row>
    <row r="202" spans="2:14" ht="15.6" thickBot="1" x14ac:dyDescent="0.3"/>
    <row r="203" spans="2:14" x14ac:dyDescent="0.25">
      <c r="B203" s="115" t="s">
        <v>342</v>
      </c>
      <c r="C203" s="108" t="s">
        <v>336</v>
      </c>
      <c r="D203" s="22"/>
      <c r="E203" s="23"/>
      <c r="F203" s="24"/>
      <c r="G203" s="25"/>
      <c r="H203" s="25"/>
      <c r="I203" s="25"/>
      <c r="J203" s="25"/>
      <c r="K203" s="25"/>
      <c r="L203" s="26"/>
    </row>
    <row r="204" spans="2:14" ht="15.6" thickBot="1" x14ac:dyDescent="0.3">
      <c r="B204" s="116"/>
      <c r="C204" s="109"/>
      <c r="D204" s="27"/>
      <c r="E204" s="28"/>
      <c r="F204" s="29"/>
      <c r="L204" s="30"/>
    </row>
    <row r="205" spans="2:14" ht="16.2" thickBot="1" x14ac:dyDescent="0.35">
      <c r="B205" s="116"/>
      <c r="C205" s="109"/>
      <c r="D205" s="27"/>
      <c r="E205" s="31"/>
      <c r="F205" s="32" t="s">
        <v>0</v>
      </c>
      <c r="G205" s="33"/>
      <c r="H205" s="3" t="s">
        <v>2</v>
      </c>
      <c r="I205" s="33"/>
      <c r="J205" s="34" t="s">
        <v>3</v>
      </c>
      <c r="K205" s="33"/>
      <c r="L205" s="35" t="s">
        <v>4</v>
      </c>
      <c r="M205" s="2" t="str">
        <f>IF(E205="X","",IF(G205="X","",IF(I205="X","",IF(K205="X","","Elegir opción"))))</f>
        <v>Elegir opción</v>
      </c>
      <c r="N205" s="28" t="str">
        <f>IF(E205="X",3,IF(G205="X",2,IF(I205="X",1,IF(K205="X",0,"Promedio"))))</f>
        <v>Promedio</v>
      </c>
    </row>
    <row r="206" spans="2:14" x14ac:dyDescent="0.25">
      <c r="B206" s="116"/>
      <c r="C206" s="109"/>
      <c r="D206" s="36"/>
      <c r="L206" s="30"/>
    </row>
    <row r="207" spans="2:14" x14ac:dyDescent="0.25">
      <c r="B207" s="116"/>
      <c r="C207" s="109"/>
      <c r="D207" s="36"/>
      <c r="L207" s="30"/>
    </row>
    <row r="208" spans="2:14" ht="15.6" thickBot="1" x14ac:dyDescent="0.3">
      <c r="B208" s="117"/>
      <c r="C208" s="110"/>
      <c r="D208" s="37"/>
      <c r="E208" s="38"/>
      <c r="F208" s="38"/>
      <c r="G208" s="38"/>
      <c r="H208" s="38"/>
      <c r="I208" s="38"/>
      <c r="J208" s="38"/>
      <c r="K208" s="38"/>
      <c r="L208" s="39"/>
    </row>
    <row r="209" spans="2:14" ht="15.6" thickBot="1" x14ac:dyDescent="0.3"/>
    <row r="210" spans="2:14" x14ac:dyDescent="0.25">
      <c r="B210" s="115" t="s">
        <v>343</v>
      </c>
      <c r="C210" s="108" t="s">
        <v>524</v>
      </c>
      <c r="D210" s="22"/>
      <c r="E210" s="23"/>
      <c r="F210" s="24"/>
      <c r="G210" s="25"/>
      <c r="H210" s="25"/>
      <c r="I210" s="25"/>
      <c r="J210" s="25"/>
      <c r="K210" s="25"/>
      <c r="L210" s="26"/>
    </row>
    <row r="211" spans="2:14" ht="15.6" thickBot="1" x14ac:dyDescent="0.3">
      <c r="B211" s="116"/>
      <c r="C211" s="109"/>
      <c r="D211" s="27"/>
      <c r="E211" s="28"/>
      <c r="F211" s="29"/>
      <c r="L211" s="30"/>
    </row>
    <row r="212" spans="2:14" ht="16.2" thickBot="1" x14ac:dyDescent="0.35">
      <c r="B212" s="116"/>
      <c r="C212" s="109"/>
      <c r="D212" s="27"/>
      <c r="E212" s="31"/>
      <c r="F212" s="32" t="s">
        <v>0</v>
      </c>
      <c r="G212" s="33"/>
      <c r="H212" s="3" t="s">
        <v>2</v>
      </c>
      <c r="I212" s="33"/>
      <c r="J212" s="34" t="s">
        <v>3</v>
      </c>
      <c r="K212" s="33"/>
      <c r="L212" s="35" t="s">
        <v>4</v>
      </c>
      <c r="M212" s="2" t="str">
        <f>IF(E212="X","",IF(G212="X","",IF(I212="X","",IF(K212="X","","Elegir opción"))))</f>
        <v>Elegir opción</v>
      </c>
      <c r="N212" s="28" t="str">
        <f>IF(E212="X",3,IF(G212="X",2,IF(I212="X",1,IF(K212="X",0,"Promedio"))))</f>
        <v>Promedio</v>
      </c>
    </row>
    <row r="213" spans="2:14" x14ac:dyDescent="0.25">
      <c r="B213" s="116"/>
      <c r="C213" s="109"/>
      <c r="D213" s="36"/>
      <c r="L213" s="30"/>
    </row>
    <row r="214" spans="2:14" x14ac:dyDescent="0.25">
      <c r="B214" s="116"/>
      <c r="C214" s="109"/>
      <c r="D214" s="36"/>
      <c r="L214" s="30"/>
    </row>
    <row r="215" spans="2:14" ht="15.6" thickBot="1" x14ac:dyDescent="0.3">
      <c r="B215" s="117"/>
      <c r="C215" s="110"/>
      <c r="D215" s="37"/>
      <c r="E215" s="38"/>
      <c r="F215" s="38"/>
      <c r="G215" s="38"/>
      <c r="H215" s="38"/>
      <c r="I215" s="38"/>
      <c r="J215" s="38"/>
      <c r="K215" s="38"/>
      <c r="L215" s="39"/>
    </row>
    <row r="216" spans="2:14" ht="15.6" thickBot="1" x14ac:dyDescent="0.3"/>
    <row r="217" spans="2:14" x14ac:dyDescent="0.25">
      <c r="B217" s="115" t="s">
        <v>344</v>
      </c>
      <c r="C217" s="108" t="s">
        <v>525</v>
      </c>
      <c r="D217" s="22"/>
      <c r="E217" s="23"/>
      <c r="F217" s="24"/>
      <c r="G217" s="25"/>
      <c r="H217" s="25"/>
      <c r="I217" s="25"/>
      <c r="J217" s="25"/>
      <c r="K217" s="25"/>
      <c r="L217" s="26"/>
    </row>
    <row r="218" spans="2:14" ht="15.6" thickBot="1" x14ac:dyDescent="0.3">
      <c r="B218" s="116"/>
      <c r="C218" s="109"/>
      <c r="D218" s="27"/>
      <c r="E218" s="28"/>
      <c r="F218" s="29"/>
      <c r="L218" s="30"/>
    </row>
    <row r="219" spans="2:14" ht="16.2" thickBot="1" x14ac:dyDescent="0.35">
      <c r="B219" s="116"/>
      <c r="C219" s="109"/>
      <c r="D219" s="27"/>
      <c r="E219" s="31"/>
      <c r="F219" s="32" t="s">
        <v>0</v>
      </c>
      <c r="G219" s="33"/>
      <c r="H219" s="3" t="s">
        <v>2</v>
      </c>
      <c r="I219" s="33"/>
      <c r="J219" s="34" t="s">
        <v>3</v>
      </c>
      <c r="K219" s="33"/>
      <c r="L219" s="35" t="s">
        <v>4</v>
      </c>
      <c r="M219" s="2" t="str">
        <f>IF(E219="X","",IF(G219="X","",IF(I219="X","",IF(K219="X","","Elegir opción"))))</f>
        <v>Elegir opción</v>
      </c>
      <c r="N219" s="28" t="str">
        <f>IF(E219="X",3,IF(G219="X",2,IF(I219="X",1,IF(K219="X",0,"Promedio"))))</f>
        <v>Promedio</v>
      </c>
    </row>
    <row r="220" spans="2:14" x14ac:dyDescent="0.25">
      <c r="B220" s="116"/>
      <c r="C220" s="109"/>
      <c r="D220" s="36"/>
      <c r="L220" s="30"/>
    </row>
    <row r="221" spans="2:14" x14ac:dyDescent="0.25">
      <c r="B221" s="116"/>
      <c r="C221" s="109"/>
      <c r="D221" s="36"/>
      <c r="L221" s="30"/>
    </row>
    <row r="222" spans="2:14" ht="15.6" thickBot="1" x14ac:dyDescent="0.3">
      <c r="B222" s="117"/>
      <c r="C222" s="110"/>
      <c r="D222" s="37"/>
      <c r="E222" s="38"/>
      <c r="F222" s="38"/>
      <c r="G222" s="38"/>
      <c r="H222" s="38"/>
      <c r="I222" s="38"/>
      <c r="J222" s="38"/>
      <c r="K222" s="38"/>
      <c r="L222" s="39"/>
    </row>
    <row r="223" spans="2:14" ht="15.6" thickBot="1" x14ac:dyDescent="0.3"/>
    <row r="224" spans="2:14" x14ac:dyDescent="0.25">
      <c r="B224" s="115" t="s">
        <v>345</v>
      </c>
      <c r="C224" s="108" t="s">
        <v>526</v>
      </c>
      <c r="D224" s="22"/>
      <c r="E224" s="23"/>
      <c r="F224" s="24"/>
      <c r="G224" s="25"/>
      <c r="H224" s="25"/>
      <c r="I224" s="25"/>
      <c r="J224" s="25"/>
      <c r="K224" s="25"/>
      <c r="L224" s="26"/>
    </row>
    <row r="225" spans="2:14" ht="15.6" thickBot="1" x14ac:dyDescent="0.3">
      <c r="B225" s="116"/>
      <c r="C225" s="109"/>
      <c r="D225" s="27"/>
      <c r="E225" s="28"/>
      <c r="F225" s="29"/>
      <c r="L225" s="30"/>
    </row>
    <row r="226" spans="2:14" ht="16.2" thickBot="1" x14ac:dyDescent="0.35">
      <c r="B226" s="116"/>
      <c r="C226" s="109"/>
      <c r="D226" s="27"/>
      <c r="E226" s="31"/>
      <c r="F226" s="32" t="s">
        <v>0</v>
      </c>
      <c r="G226" s="33"/>
      <c r="H226" s="3" t="s">
        <v>2</v>
      </c>
      <c r="I226" s="33"/>
      <c r="J226" s="34" t="s">
        <v>3</v>
      </c>
      <c r="K226" s="33"/>
      <c r="L226" s="35" t="s">
        <v>4</v>
      </c>
      <c r="M226" s="2" t="str">
        <f>IF(E226="X","",IF(G226="X","",IF(I226="X","",IF(K226="X","","Elegir opción"))))</f>
        <v>Elegir opción</v>
      </c>
      <c r="N226" s="28" t="str">
        <f>IF(E226="X",3,IF(G226="X",2,IF(I226="X",1,IF(K226="X",0,"Promedio"))))</f>
        <v>Promedio</v>
      </c>
    </row>
    <row r="227" spans="2:14" x14ac:dyDescent="0.25">
      <c r="B227" s="116"/>
      <c r="C227" s="109"/>
      <c r="D227" s="36"/>
      <c r="L227" s="30"/>
    </row>
    <row r="228" spans="2:14" x14ac:dyDescent="0.25">
      <c r="B228" s="116"/>
      <c r="C228" s="109"/>
      <c r="D228" s="36"/>
      <c r="L228" s="30"/>
    </row>
    <row r="229" spans="2:14" ht="15.6" thickBot="1" x14ac:dyDescent="0.3">
      <c r="B229" s="117"/>
      <c r="C229" s="110"/>
      <c r="D229" s="37"/>
      <c r="E229" s="38"/>
      <c r="F229" s="38"/>
      <c r="G229" s="38"/>
      <c r="H229" s="38"/>
      <c r="I229" s="38"/>
      <c r="J229" s="38"/>
      <c r="K229" s="38"/>
      <c r="L229" s="39"/>
    </row>
    <row r="230" spans="2:14" ht="15.6" thickBot="1" x14ac:dyDescent="0.3"/>
    <row r="231" spans="2:14" x14ac:dyDescent="0.25">
      <c r="B231" s="115" t="s">
        <v>346</v>
      </c>
      <c r="C231" s="108" t="s">
        <v>337</v>
      </c>
      <c r="D231" s="22"/>
      <c r="E231" s="23"/>
      <c r="F231" s="24"/>
      <c r="G231" s="25"/>
      <c r="H231" s="25"/>
      <c r="I231" s="25"/>
      <c r="J231" s="25"/>
      <c r="K231" s="25"/>
      <c r="L231" s="26"/>
    </row>
    <row r="232" spans="2:14" ht="15.6" thickBot="1" x14ac:dyDescent="0.3">
      <c r="B232" s="116"/>
      <c r="C232" s="109"/>
      <c r="D232" s="27"/>
      <c r="E232" s="28"/>
      <c r="F232" s="29"/>
      <c r="L232" s="30"/>
    </row>
    <row r="233" spans="2:14" ht="16.2" thickBot="1" x14ac:dyDescent="0.35">
      <c r="B233" s="116"/>
      <c r="C233" s="109"/>
      <c r="D233" s="27"/>
      <c r="E233" s="31"/>
      <c r="F233" s="32" t="s">
        <v>0</v>
      </c>
      <c r="G233" s="33"/>
      <c r="H233" s="3" t="s">
        <v>2</v>
      </c>
      <c r="I233" s="33"/>
      <c r="J233" s="34" t="s">
        <v>3</v>
      </c>
      <c r="K233" s="33"/>
      <c r="L233" s="35" t="s">
        <v>4</v>
      </c>
      <c r="M233" s="2" t="str">
        <f>IF(E233="X","",IF(G233="X","",IF(I233="X","",IF(K233="X","","Elegir opción"))))</f>
        <v>Elegir opción</v>
      </c>
      <c r="N233" s="28" t="str">
        <f>IF(E233="X",3,IF(G233="X",2,IF(I233="X",1,IF(K233="X",0,"Promedio"))))</f>
        <v>Promedio</v>
      </c>
    </row>
    <row r="234" spans="2:14" x14ac:dyDescent="0.25">
      <c r="B234" s="116"/>
      <c r="C234" s="109"/>
      <c r="D234" s="36"/>
      <c r="L234" s="30"/>
    </row>
    <row r="235" spans="2:14" x14ac:dyDescent="0.25">
      <c r="B235" s="116"/>
      <c r="C235" s="109"/>
      <c r="D235" s="36"/>
      <c r="L235" s="30"/>
    </row>
    <row r="236" spans="2:14" ht="15.6" thickBot="1" x14ac:dyDescent="0.3">
      <c r="B236" s="117"/>
      <c r="C236" s="110"/>
      <c r="D236" s="37"/>
      <c r="E236" s="38"/>
      <c r="F236" s="38"/>
      <c r="G236" s="38"/>
      <c r="H236" s="38"/>
      <c r="I236" s="38"/>
      <c r="J236" s="38"/>
      <c r="K236" s="38"/>
      <c r="L236" s="39"/>
    </row>
    <row r="237" spans="2:14" ht="15.6" thickBot="1" x14ac:dyDescent="0.3"/>
    <row r="238" spans="2:14" x14ac:dyDescent="0.25">
      <c r="B238" s="115" t="s">
        <v>347</v>
      </c>
      <c r="C238" s="108" t="s">
        <v>338</v>
      </c>
      <c r="D238" s="22"/>
      <c r="E238" s="23"/>
      <c r="F238" s="24"/>
      <c r="G238" s="25"/>
      <c r="H238" s="25"/>
      <c r="I238" s="25"/>
      <c r="J238" s="25"/>
      <c r="K238" s="25"/>
      <c r="L238" s="26"/>
    </row>
    <row r="239" spans="2:14" ht="15.6" thickBot="1" x14ac:dyDescent="0.3">
      <c r="B239" s="116"/>
      <c r="C239" s="109"/>
      <c r="D239" s="27"/>
      <c r="E239" s="28"/>
      <c r="F239" s="29"/>
      <c r="L239" s="30"/>
    </row>
    <row r="240" spans="2:14" ht="16.2" thickBot="1" x14ac:dyDescent="0.35">
      <c r="B240" s="116"/>
      <c r="C240" s="109"/>
      <c r="D240" s="27"/>
      <c r="E240" s="31"/>
      <c r="F240" s="32" t="s">
        <v>0</v>
      </c>
      <c r="G240" s="33"/>
      <c r="H240" s="3" t="s">
        <v>2</v>
      </c>
      <c r="I240" s="33"/>
      <c r="J240" s="34" t="s">
        <v>3</v>
      </c>
      <c r="K240" s="33"/>
      <c r="L240" s="35" t="s">
        <v>4</v>
      </c>
      <c r="M240" s="2" t="str">
        <f>IF(E240="X","",IF(G240="X","",IF(I240="X","",IF(K240="X","","Elegir opción"))))</f>
        <v>Elegir opción</v>
      </c>
      <c r="N240" s="28" t="str">
        <f>IF(E240="X",3,IF(G240="X",2,IF(I240="X",1,IF(K240="X",0,"Promedio"))))</f>
        <v>Promedio</v>
      </c>
    </row>
    <row r="241" spans="2:14" x14ac:dyDescent="0.25">
      <c r="B241" s="116"/>
      <c r="C241" s="109"/>
      <c r="D241" s="36"/>
      <c r="L241" s="30"/>
    </row>
    <row r="242" spans="2:14" x14ac:dyDescent="0.25">
      <c r="B242" s="116"/>
      <c r="C242" s="109"/>
      <c r="D242" s="36"/>
      <c r="L242" s="30"/>
    </row>
    <row r="243" spans="2:14" ht="15.6" thickBot="1" x14ac:dyDescent="0.3">
      <c r="B243" s="117"/>
      <c r="C243" s="110"/>
      <c r="D243" s="37"/>
      <c r="E243" s="38"/>
      <c r="F243" s="38"/>
      <c r="G243" s="38"/>
      <c r="H243" s="38"/>
      <c r="I243" s="38"/>
      <c r="J243" s="38"/>
      <c r="K243" s="38"/>
      <c r="L243" s="39"/>
    </row>
    <row r="244" spans="2:14" ht="15.6" thickBot="1" x14ac:dyDescent="0.3"/>
    <row r="245" spans="2:14" x14ac:dyDescent="0.25">
      <c r="B245" s="115" t="s">
        <v>348</v>
      </c>
      <c r="C245" s="108" t="s">
        <v>527</v>
      </c>
      <c r="D245" s="22"/>
      <c r="E245" s="23"/>
      <c r="F245" s="24"/>
      <c r="G245" s="25"/>
      <c r="H245" s="25"/>
      <c r="I245" s="25"/>
      <c r="J245" s="25"/>
      <c r="K245" s="25"/>
      <c r="L245" s="26"/>
    </row>
    <row r="246" spans="2:14" ht="15.6" thickBot="1" x14ac:dyDescent="0.3">
      <c r="B246" s="116"/>
      <c r="C246" s="109"/>
      <c r="D246" s="27"/>
      <c r="E246" s="28"/>
      <c r="F246" s="29"/>
      <c r="L246" s="30"/>
    </row>
    <row r="247" spans="2:14" ht="16.2" thickBot="1" x14ac:dyDescent="0.35">
      <c r="B247" s="116"/>
      <c r="C247" s="109"/>
      <c r="D247" s="27"/>
      <c r="E247" s="31"/>
      <c r="F247" s="32" t="s">
        <v>0</v>
      </c>
      <c r="G247" s="33"/>
      <c r="H247" s="3" t="s">
        <v>2</v>
      </c>
      <c r="I247" s="33"/>
      <c r="J247" s="34" t="s">
        <v>3</v>
      </c>
      <c r="K247" s="33"/>
      <c r="L247" s="35" t="s">
        <v>4</v>
      </c>
      <c r="M247" s="2" t="str">
        <f>IF(E247="X","",IF(G247="X","",IF(I247="X","",IF(K247="X","","Elegir opción"))))</f>
        <v>Elegir opción</v>
      </c>
      <c r="N247" s="28" t="str">
        <f>IF(E247="X",3,IF(G247="X",2,IF(I247="X",1,IF(K247="X",0,"Promedio"))))</f>
        <v>Promedio</v>
      </c>
    </row>
    <row r="248" spans="2:14" x14ac:dyDescent="0.25">
      <c r="B248" s="116"/>
      <c r="C248" s="109"/>
      <c r="D248" s="36"/>
      <c r="L248" s="30"/>
    </row>
    <row r="249" spans="2:14" x14ac:dyDescent="0.25">
      <c r="B249" s="116"/>
      <c r="C249" s="109"/>
      <c r="D249" s="36"/>
      <c r="L249" s="30"/>
    </row>
    <row r="250" spans="2:14" ht="15.6" thickBot="1" x14ac:dyDescent="0.3">
      <c r="B250" s="117"/>
      <c r="C250" s="110"/>
      <c r="D250" s="37"/>
      <c r="E250" s="38"/>
      <c r="F250" s="38"/>
      <c r="G250" s="38"/>
      <c r="H250" s="38"/>
      <c r="I250" s="38"/>
      <c r="J250" s="38"/>
      <c r="K250" s="38"/>
      <c r="L250" s="39"/>
    </row>
    <row r="251" spans="2:14" ht="15.6" thickBot="1" x14ac:dyDescent="0.3"/>
    <row r="252" spans="2:14" x14ac:dyDescent="0.25">
      <c r="B252" s="115" t="s">
        <v>349</v>
      </c>
      <c r="C252" s="108" t="s">
        <v>528</v>
      </c>
      <c r="D252" s="22"/>
      <c r="E252" s="23"/>
      <c r="F252" s="24"/>
      <c r="G252" s="25"/>
      <c r="H252" s="25"/>
      <c r="I252" s="25"/>
      <c r="J252" s="25"/>
      <c r="K252" s="25"/>
      <c r="L252" s="26"/>
    </row>
    <row r="253" spans="2:14" ht="15.6" thickBot="1" x14ac:dyDescent="0.3">
      <c r="B253" s="116"/>
      <c r="C253" s="109"/>
      <c r="D253" s="27"/>
      <c r="E253" s="28"/>
      <c r="F253" s="29"/>
      <c r="L253" s="30"/>
    </row>
    <row r="254" spans="2:14" ht="16.2" thickBot="1" x14ac:dyDescent="0.35">
      <c r="B254" s="116"/>
      <c r="C254" s="109"/>
      <c r="D254" s="27"/>
      <c r="E254" s="31"/>
      <c r="F254" s="32" t="s">
        <v>0</v>
      </c>
      <c r="G254" s="33"/>
      <c r="H254" s="3" t="s">
        <v>2</v>
      </c>
      <c r="I254" s="33"/>
      <c r="J254" s="34" t="s">
        <v>3</v>
      </c>
      <c r="K254" s="33"/>
      <c r="L254" s="35" t="s">
        <v>4</v>
      </c>
      <c r="M254" s="2" t="str">
        <f>IF(E254="X","",IF(G254="X","",IF(I254="X","",IF(K254="X","","Elegir opción"))))</f>
        <v>Elegir opción</v>
      </c>
      <c r="N254" s="28" t="str">
        <f>IF(E254="X",3,IF(G254="X",2,IF(I254="X",1,IF(K254="X",0,"Promedio"))))</f>
        <v>Promedio</v>
      </c>
    </row>
    <row r="255" spans="2:14" x14ac:dyDescent="0.25">
      <c r="B255" s="116"/>
      <c r="C255" s="109"/>
      <c r="D255" s="36"/>
      <c r="L255" s="30"/>
    </row>
    <row r="256" spans="2:14" x14ac:dyDescent="0.25">
      <c r="B256" s="116"/>
      <c r="C256" s="109"/>
      <c r="D256" s="36"/>
      <c r="L256" s="30"/>
    </row>
    <row r="257" spans="2:14" ht="15.6" thickBot="1" x14ac:dyDescent="0.3">
      <c r="B257" s="117"/>
      <c r="C257" s="110"/>
      <c r="D257" s="37"/>
      <c r="E257" s="38"/>
      <c r="F257" s="38"/>
      <c r="G257" s="38"/>
      <c r="H257" s="38"/>
      <c r="I257" s="38"/>
      <c r="J257" s="38"/>
      <c r="K257" s="38"/>
      <c r="L257" s="39"/>
    </row>
    <row r="258" spans="2:14" ht="15.6" thickBot="1" x14ac:dyDescent="0.3"/>
    <row r="259" spans="2:14" x14ac:dyDescent="0.25">
      <c r="B259" s="115" t="s">
        <v>350</v>
      </c>
      <c r="C259" s="108" t="s">
        <v>337</v>
      </c>
      <c r="D259" s="22"/>
      <c r="E259" s="23"/>
      <c r="F259" s="24"/>
      <c r="G259" s="25"/>
      <c r="H259" s="25"/>
      <c r="I259" s="25"/>
      <c r="J259" s="25"/>
      <c r="K259" s="25"/>
      <c r="L259" s="26"/>
    </row>
    <row r="260" spans="2:14" ht="15.6" thickBot="1" x14ac:dyDescent="0.3">
      <c r="B260" s="116"/>
      <c r="C260" s="109"/>
      <c r="D260" s="27"/>
      <c r="E260" s="28"/>
      <c r="F260" s="29"/>
      <c r="L260" s="30"/>
    </row>
    <row r="261" spans="2:14" ht="16.2" thickBot="1" x14ac:dyDescent="0.35">
      <c r="B261" s="116"/>
      <c r="C261" s="109"/>
      <c r="D261" s="27"/>
      <c r="E261" s="31"/>
      <c r="F261" s="32" t="s">
        <v>0</v>
      </c>
      <c r="G261" s="33"/>
      <c r="H261" s="3" t="s">
        <v>2</v>
      </c>
      <c r="I261" s="33"/>
      <c r="J261" s="34" t="s">
        <v>3</v>
      </c>
      <c r="K261" s="33"/>
      <c r="L261" s="35" t="s">
        <v>4</v>
      </c>
      <c r="M261" s="2" t="str">
        <f>IF(E261="X","",IF(G261="X","",IF(I261="X","",IF(K261="X","","Elegir opción"))))</f>
        <v>Elegir opción</v>
      </c>
      <c r="N261" s="28" t="str">
        <f>IF(E261="X",3,IF(G261="X",2,IF(I261="X",1,IF(K261="X",0,"Promedio"))))</f>
        <v>Promedio</v>
      </c>
    </row>
    <row r="262" spans="2:14" x14ac:dyDescent="0.25">
      <c r="B262" s="116"/>
      <c r="C262" s="109"/>
      <c r="D262" s="36"/>
      <c r="L262" s="30"/>
    </row>
    <row r="263" spans="2:14" x14ac:dyDescent="0.25">
      <c r="B263" s="116"/>
      <c r="C263" s="109"/>
      <c r="D263" s="36"/>
      <c r="L263" s="30"/>
    </row>
    <row r="264" spans="2:14" ht="15.6" thickBot="1" x14ac:dyDescent="0.3">
      <c r="B264" s="117"/>
      <c r="C264" s="110"/>
      <c r="D264" s="37"/>
      <c r="E264" s="38"/>
      <c r="F264" s="38"/>
      <c r="G264" s="38"/>
      <c r="H264" s="38"/>
      <c r="I264" s="38"/>
      <c r="J264" s="38"/>
      <c r="K264" s="38"/>
      <c r="L264" s="39"/>
    </row>
    <row r="266" spans="2:14" ht="15.6" x14ac:dyDescent="0.3">
      <c r="E266" s="3"/>
      <c r="F266" s="3"/>
      <c r="G266" s="3"/>
      <c r="H266" s="3"/>
      <c r="I266" s="3"/>
      <c r="J266" s="3"/>
      <c r="K266" s="3"/>
    </row>
    <row r="267" spans="2:14" ht="15.6" x14ac:dyDescent="0.3">
      <c r="B267" s="3" t="s">
        <v>438</v>
      </c>
    </row>
    <row r="268" spans="2:14" ht="15.6" thickBot="1" x14ac:dyDescent="0.3"/>
    <row r="269" spans="2:14" x14ac:dyDescent="0.25">
      <c r="B269" s="115" t="s">
        <v>355</v>
      </c>
      <c r="C269" s="108" t="s">
        <v>529</v>
      </c>
      <c r="D269" s="22"/>
      <c r="E269" s="23"/>
      <c r="F269" s="24"/>
      <c r="G269" s="25"/>
      <c r="H269" s="25"/>
      <c r="I269" s="25"/>
      <c r="J269" s="25"/>
      <c r="K269" s="25"/>
      <c r="L269" s="26"/>
    </row>
    <row r="270" spans="2:14" ht="15.6" thickBot="1" x14ac:dyDescent="0.3">
      <c r="B270" s="116"/>
      <c r="C270" s="109"/>
      <c r="D270" s="27"/>
      <c r="E270" s="28"/>
      <c r="F270" s="29"/>
      <c r="L270" s="30"/>
    </row>
    <row r="271" spans="2:14" ht="16.2" thickBot="1" x14ac:dyDescent="0.35">
      <c r="B271" s="116"/>
      <c r="C271" s="109"/>
      <c r="D271" s="27"/>
      <c r="E271" s="31"/>
      <c r="F271" s="32" t="s">
        <v>0</v>
      </c>
      <c r="G271" s="33"/>
      <c r="H271" s="3" t="s">
        <v>2</v>
      </c>
      <c r="I271" s="33"/>
      <c r="J271" s="34" t="s">
        <v>3</v>
      </c>
      <c r="K271" s="33"/>
      <c r="L271" s="35" t="s">
        <v>4</v>
      </c>
      <c r="M271" s="2" t="str">
        <f>IF(E271="X","",IF(G271="X","",IF(I271="X","",IF(K271="X","","Elegir opción"))))</f>
        <v>Elegir opción</v>
      </c>
      <c r="N271" s="28" t="str">
        <f>IF(E271="X",3,IF(G271="X",2,IF(I271="X",1,IF(K271="X",0,"Promedio"))))</f>
        <v>Promedio</v>
      </c>
    </row>
    <row r="272" spans="2:14" x14ac:dyDescent="0.25">
      <c r="B272" s="116"/>
      <c r="C272" s="109"/>
      <c r="D272" s="36"/>
      <c r="L272" s="30"/>
    </row>
    <row r="273" spans="2:14" x14ac:dyDescent="0.25">
      <c r="B273" s="116"/>
      <c r="C273" s="109"/>
      <c r="D273" s="36"/>
      <c r="L273" s="30"/>
    </row>
    <row r="274" spans="2:14" ht="15.6" thickBot="1" x14ac:dyDescent="0.3">
      <c r="B274" s="117"/>
      <c r="C274" s="110"/>
      <c r="D274" s="37"/>
      <c r="E274" s="38"/>
      <c r="F274" s="38"/>
      <c r="G274" s="38"/>
      <c r="H274" s="38"/>
      <c r="I274" s="38"/>
      <c r="J274" s="38"/>
      <c r="K274" s="38"/>
      <c r="L274" s="39"/>
    </row>
    <row r="275" spans="2:14" ht="15.6" thickBot="1" x14ac:dyDescent="0.3"/>
    <row r="276" spans="2:14" x14ac:dyDescent="0.25">
      <c r="B276" s="115" t="s">
        <v>356</v>
      </c>
      <c r="C276" s="108" t="s">
        <v>351</v>
      </c>
      <c r="D276" s="22"/>
      <c r="E276" s="23"/>
      <c r="F276" s="24"/>
      <c r="G276" s="25"/>
      <c r="H276" s="25"/>
      <c r="I276" s="25"/>
      <c r="J276" s="25"/>
      <c r="K276" s="25"/>
      <c r="L276" s="26"/>
    </row>
    <row r="277" spans="2:14" ht="15.6" thickBot="1" x14ac:dyDescent="0.3">
      <c r="B277" s="116"/>
      <c r="C277" s="109"/>
      <c r="D277" s="27"/>
      <c r="E277" s="28"/>
      <c r="F277" s="29"/>
      <c r="L277" s="30"/>
    </row>
    <row r="278" spans="2:14" ht="16.2" thickBot="1" x14ac:dyDescent="0.35">
      <c r="B278" s="116"/>
      <c r="C278" s="109"/>
      <c r="D278" s="27"/>
      <c r="E278" s="31"/>
      <c r="F278" s="32" t="s">
        <v>0</v>
      </c>
      <c r="G278" s="33"/>
      <c r="H278" s="3" t="s">
        <v>2</v>
      </c>
      <c r="I278" s="33"/>
      <c r="J278" s="34" t="s">
        <v>3</v>
      </c>
      <c r="K278" s="33"/>
      <c r="L278" s="35" t="s">
        <v>4</v>
      </c>
      <c r="M278" s="2" t="str">
        <f>IF(E278="X","",IF(G278="X","",IF(I278="X","",IF(K278="X","","Elegir opción"))))</f>
        <v>Elegir opción</v>
      </c>
      <c r="N278" s="28" t="str">
        <f>IF(E278="X",3,IF(G278="X",2,IF(I278="X",1,IF(K278="X",0,"Promedio"))))</f>
        <v>Promedio</v>
      </c>
    </row>
    <row r="279" spans="2:14" x14ac:dyDescent="0.25">
      <c r="B279" s="116"/>
      <c r="C279" s="109"/>
      <c r="D279" s="36"/>
      <c r="L279" s="30"/>
    </row>
    <row r="280" spans="2:14" x14ac:dyDescent="0.25">
      <c r="B280" s="116"/>
      <c r="C280" s="109"/>
      <c r="D280" s="36"/>
      <c r="L280" s="30"/>
    </row>
    <row r="281" spans="2:14" ht="15.6" thickBot="1" x14ac:dyDescent="0.3">
      <c r="B281" s="117"/>
      <c r="C281" s="110"/>
      <c r="D281" s="37"/>
      <c r="E281" s="38"/>
      <c r="F281" s="38"/>
      <c r="G281" s="38"/>
      <c r="H281" s="38"/>
      <c r="I281" s="38"/>
      <c r="J281" s="38"/>
      <c r="K281" s="38"/>
      <c r="L281" s="39"/>
    </row>
    <row r="282" spans="2:14" ht="15.6" thickBot="1" x14ac:dyDescent="0.3"/>
    <row r="283" spans="2:14" x14ac:dyDescent="0.25">
      <c r="B283" s="115" t="s">
        <v>357</v>
      </c>
      <c r="C283" s="108" t="s">
        <v>352</v>
      </c>
      <c r="D283" s="22"/>
      <c r="E283" s="23"/>
      <c r="F283" s="24"/>
      <c r="G283" s="25"/>
      <c r="H283" s="25"/>
      <c r="I283" s="25"/>
      <c r="J283" s="25"/>
      <c r="K283" s="25"/>
      <c r="L283" s="26"/>
    </row>
    <row r="284" spans="2:14" ht="15.6" thickBot="1" x14ac:dyDescent="0.3">
      <c r="B284" s="116"/>
      <c r="C284" s="109"/>
      <c r="D284" s="27"/>
      <c r="E284" s="28"/>
      <c r="F284" s="29"/>
      <c r="L284" s="30"/>
    </row>
    <row r="285" spans="2:14" ht="16.2" thickBot="1" x14ac:dyDescent="0.35">
      <c r="B285" s="116"/>
      <c r="C285" s="109"/>
      <c r="D285" s="27"/>
      <c r="E285" s="31"/>
      <c r="F285" s="32" t="s">
        <v>0</v>
      </c>
      <c r="G285" s="33"/>
      <c r="H285" s="3" t="s">
        <v>2</v>
      </c>
      <c r="I285" s="33"/>
      <c r="J285" s="34" t="s">
        <v>3</v>
      </c>
      <c r="K285" s="33"/>
      <c r="L285" s="35" t="s">
        <v>4</v>
      </c>
      <c r="M285" s="2" t="str">
        <f>IF(E285="X","",IF(G285="X","",IF(I285="X","",IF(K285="X","","Elegir opción"))))</f>
        <v>Elegir opción</v>
      </c>
      <c r="N285" s="28" t="str">
        <f>IF(E285="X",3,IF(G285="X",2,IF(I285="X",1,IF(K285="X",0,"Promedio"))))</f>
        <v>Promedio</v>
      </c>
    </row>
    <row r="286" spans="2:14" x14ac:dyDescent="0.25">
      <c r="B286" s="116"/>
      <c r="C286" s="109"/>
      <c r="D286" s="36"/>
      <c r="L286" s="30"/>
    </row>
    <row r="287" spans="2:14" x14ac:dyDescent="0.25">
      <c r="B287" s="116"/>
      <c r="C287" s="109"/>
      <c r="D287" s="36"/>
      <c r="L287" s="30"/>
    </row>
    <row r="288" spans="2:14" ht="15.6" thickBot="1" x14ac:dyDescent="0.3">
      <c r="B288" s="117"/>
      <c r="C288" s="110"/>
      <c r="D288" s="37"/>
      <c r="E288" s="38"/>
      <c r="F288" s="38"/>
      <c r="G288" s="38"/>
      <c r="H288" s="38"/>
      <c r="I288" s="38"/>
      <c r="J288" s="38"/>
      <c r="K288" s="38"/>
      <c r="L288" s="39"/>
    </row>
    <row r="289" spans="2:14" ht="15.6" thickBot="1" x14ac:dyDescent="0.3"/>
    <row r="290" spans="2:14" x14ac:dyDescent="0.25">
      <c r="B290" s="115" t="s">
        <v>358</v>
      </c>
      <c r="C290" s="108" t="s">
        <v>354</v>
      </c>
      <c r="D290" s="22"/>
      <c r="E290" s="23"/>
      <c r="F290" s="24"/>
      <c r="G290" s="25"/>
      <c r="H290" s="25"/>
      <c r="I290" s="25"/>
      <c r="J290" s="25"/>
      <c r="K290" s="25"/>
      <c r="L290" s="26"/>
    </row>
    <row r="291" spans="2:14" ht="15.6" thickBot="1" x14ac:dyDescent="0.3">
      <c r="B291" s="116"/>
      <c r="C291" s="109"/>
      <c r="D291" s="27"/>
      <c r="E291" s="28"/>
      <c r="F291" s="29"/>
      <c r="L291" s="30"/>
    </row>
    <row r="292" spans="2:14" ht="16.2" thickBot="1" x14ac:dyDescent="0.35">
      <c r="B292" s="116"/>
      <c r="C292" s="109"/>
      <c r="D292" s="27"/>
      <c r="E292" s="31"/>
      <c r="F292" s="32" t="s">
        <v>0</v>
      </c>
      <c r="G292" s="33"/>
      <c r="H292" s="3" t="s">
        <v>2</v>
      </c>
      <c r="I292" s="33"/>
      <c r="J292" s="34" t="s">
        <v>3</v>
      </c>
      <c r="K292" s="33"/>
      <c r="L292" s="35" t="s">
        <v>4</v>
      </c>
      <c r="M292" s="2" t="str">
        <f>IF(E292="X","",IF(G292="X","",IF(I292="X","",IF(K292="X","","Elegir opción"))))</f>
        <v>Elegir opción</v>
      </c>
      <c r="N292" s="28" t="str">
        <f>IF(E292="X",3,IF(G292="X",2,IF(I292="X",1,IF(K292="X",0,"Promedio"))))</f>
        <v>Promedio</v>
      </c>
    </row>
    <row r="293" spans="2:14" x14ac:dyDescent="0.25">
      <c r="B293" s="116"/>
      <c r="C293" s="109"/>
      <c r="D293" s="36"/>
      <c r="L293" s="30"/>
    </row>
    <row r="294" spans="2:14" x14ac:dyDescent="0.25">
      <c r="B294" s="116"/>
      <c r="C294" s="109"/>
      <c r="D294" s="36"/>
      <c r="L294" s="30"/>
    </row>
    <row r="295" spans="2:14" ht="15.6" thickBot="1" x14ac:dyDescent="0.3">
      <c r="B295" s="117"/>
      <c r="C295" s="110"/>
      <c r="D295" s="37"/>
      <c r="E295" s="38"/>
      <c r="F295" s="38"/>
      <c r="G295" s="38"/>
      <c r="H295" s="38"/>
      <c r="I295" s="38"/>
      <c r="J295" s="38"/>
      <c r="K295" s="38"/>
      <c r="L295" s="39"/>
    </row>
    <row r="296" spans="2:14" ht="15.6" thickBot="1" x14ac:dyDescent="0.3"/>
    <row r="297" spans="2:14" x14ac:dyDescent="0.25">
      <c r="B297" s="115" t="s">
        <v>359</v>
      </c>
      <c r="C297" s="108" t="s">
        <v>353</v>
      </c>
      <c r="D297" s="22"/>
      <c r="E297" s="23"/>
      <c r="F297" s="24"/>
      <c r="G297" s="25"/>
      <c r="H297" s="25"/>
      <c r="I297" s="25"/>
      <c r="J297" s="25"/>
      <c r="K297" s="25"/>
      <c r="L297" s="26"/>
    </row>
    <row r="298" spans="2:14" ht="15.6" thickBot="1" x14ac:dyDescent="0.3">
      <c r="B298" s="116"/>
      <c r="C298" s="109"/>
      <c r="D298" s="27"/>
      <c r="E298" s="28"/>
      <c r="F298" s="29"/>
      <c r="L298" s="30"/>
    </row>
    <row r="299" spans="2:14" ht="16.2" thickBot="1" x14ac:dyDescent="0.35">
      <c r="B299" s="116"/>
      <c r="C299" s="109"/>
      <c r="D299" s="27"/>
      <c r="E299" s="31"/>
      <c r="F299" s="32" t="s">
        <v>0</v>
      </c>
      <c r="G299" s="33"/>
      <c r="H299" s="3" t="s">
        <v>2</v>
      </c>
      <c r="I299" s="33"/>
      <c r="J299" s="34" t="s">
        <v>3</v>
      </c>
      <c r="K299" s="33"/>
      <c r="L299" s="35" t="s">
        <v>4</v>
      </c>
      <c r="M299" s="2" t="str">
        <f>IF(E299="X","",IF(G299="X","",IF(I299="X","",IF(K299="X","","Elegir opción"))))</f>
        <v>Elegir opción</v>
      </c>
      <c r="N299" s="28" t="str">
        <f>IF(E299="X",3,IF(G299="X",2,IF(I299="X",1,IF(K299="X",0,"Promedio"))))</f>
        <v>Promedio</v>
      </c>
    </row>
    <row r="300" spans="2:14" x14ac:dyDescent="0.25">
      <c r="B300" s="116"/>
      <c r="C300" s="109"/>
      <c r="D300" s="36"/>
      <c r="L300" s="30"/>
    </row>
    <row r="301" spans="2:14" x14ac:dyDescent="0.25">
      <c r="B301" s="116"/>
      <c r="C301" s="109"/>
      <c r="D301" s="36"/>
      <c r="L301" s="30"/>
    </row>
    <row r="302" spans="2:14" ht="15.6" thickBot="1" x14ac:dyDescent="0.3">
      <c r="B302" s="117"/>
      <c r="C302" s="110"/>
      <c r="D302" s="37"/>
      <c r="E302" s="38"/>
      <c r="F302" s="38"/>
      <c r="G302" s="38"/>
      <c r="H302" s="38"/>
      <c r="I302" s="38"/>
      <c r="J302" s="38"/>
      <c r="K302" s="38"/>
      <c r="L302" s="39"/>
    </row>
    <row r="303" spans="2:14" ht="15.6" thickBot="1" x14ac:dyDescent="0.3"/>
    <row r="304" spans="2:14" x14ac:dyDescent="0.25">
      <c r="B304" s="115" t="s">
        <v>360</v>
      </c>
      <c r="C304" s="108" t="s">
        <v>530</v>
      </c>
      <c r="D304" s="22"/>
      <c r="E304" s="23"/>
      <c r="F304" s="24"/>
      <c r="G304" s="25"/>
      <c r="H304" s="25"/>
      <c r="I304" s="25"/>
      <c r="J304" s="25"/>
      <c r="K304" s="25"/>
      <c r="L304" s="26"/>
    </row>
    <row r="305" spans="2:14" ht="15.6" thickBot="1" x14ac:dyDescent="0.3">
      <c r="B305" s="116"/>
      <c r="C305" s="109"/>
      <c r="D305" s="27"/>
      <c r="E305" s="28"/>
      <c r="F305" s="29"/>
      <c r="L305" s="30"/>
    </row>
    <row r="306" spans="2:14" ht="16.2" thickBot="1" x14ac:dyDescent="0.35">
      <c r="B306" s="116"/>
      <c r="C306" s="109"/>
      <c r="D306" s="27"/>
      <c r="E306" s="31"/>
      <c r="F306" s="32" t="s">
        <v>0</v>
      </c>
      <c r="G306" s="33"/>
      <c r="H306" s="3" t="s">
        <v>2</v>
      </c>
      <c r="I306" s="33"/>
      <c r="J306" s="34" t="s">
        <v>3</v>
      </c>
      <c r="K306" s="33"/>
      <c r="L306" s="35" t="s">
        <v>4</v>
      </c>
      <c r="M306" s="2" t="str">
        <f>IF(E306="X","",IF(G306="X","",IF(I306="X","",IF(K306="X","","Elegir opción"))))</f>
        <v>Elegir opción</v>
      </c>
      <c r="N306" s="28" t="str">
        <f>IF(E306="X",3,IF(G306="X",2,IF(I306="X",1,IF(K306="X",0,"Promedio"))))</f>
        <v>Promedio</v>
      </c>
    </row>
    <row r="307" spans="2:14" x14ac:dyDescent="0.25">
      <c r="B307" s="116"/>
      <c r="C307" s="109"/>
      <c r="D307" s="36"/>
      <c r="L307" s="30"/>
    </row>
    <row r="308" spans="2:14" x14ac:dyDescent="0.25">
      <c r="B308" s="116"/>
      <c r="C308" s="109"/>
      <c r="D308" s="36"/>
      <c r="L308" s="30"/>
    </row>
    <row r="309" spans="2:14" ht="15.6" thickBot="1" x14ac:dyDescent="0.3">
      <c r="B309" s="117"/>
      <c r="C309" s="110"/>
      <c r="D309" s="37"/>
      <c r="E309" s="38"/>
      <c r="F309" s="38"/>
      <c r="G309" s="38"/>
      <c r="H309" s="38"/>
      <c r="I309" s="38"/>
      <c r="J309" s="38"/>
      <c r="K309" s="38"/>
      <c r="L309" s="39"/>
    </row>
  </sheetData>
  <sheetProtection selectLockedCells="1"/>
  <mergeCells count="82">
    <mergeCell ref="C245:C250"/>
    <mergeCell ref="C252:C257"/>
    <mergeCell ref="C259:C264"/>
    <mergeCell ref="C269:C274"/>
    <mergeCell ref="B245:B250"/>
    <mergeCell ref="B252:B257"/>
    <mergeCell ref="B304:B309"/>
    <mergeCell ref="B259:B264"/>
    <mergeCell ref="B269:B274"/>
    <mergeCell ref="B276:B281"/>
    <mergeCell ref="B283:B288"/>
    <mergeCell ref="B297:B302"/>
    <mergeCell ref="B290:B295"/>
    <mergeCell ref="C231:C236"/>
    <mergeCell ref="C238:C243"/>
    <mergeCell ref="C145:C150"/>
    <mergeCell ref="B138:B143"/>
    <mergeCell ref="B182:B187"/>
    <mergeCell ref="B189:B194"/>
    <mergeCell ref="B196:B201"/>
    <mergeCell ref="B203:B208"/>
    <mergeCell ref="B210:B215"/>
    <mergeCell ref="B231:B236"/>
    <mergeCell ref="B238:B243"/>
    <mergeCell ref="C182:C187"/>
    <mergeCell ref="C189:C194"/>
    <mergeCell ref="C196:C201"/>
    <mergeCell ref="C203:C208"/>
    <mergeCell ref="C210:C215"/>
    <mergeCell ref="C304:C309"/>
    <mergeCell ref="C276:C281"/>
    <mergeCell ref="C283:C288"/>
    <mergeCell ref="C290:C295"/>
    <mergeCell ref="C297:C302"/>
    <mergeCell ref="C9:C14"/>
    <mergeCell ref="B113:B118"/>
    <mergeCell ref="B120:B125"/>
    <mergeCell ref="B127:B132"/>
    <mergeCell ref="B47:B52"/>
    <mergeCell ref="B54:B59"/>
    <mergeCell ref="B61:B66"/>
    <mergeCell ref="B68:B73"/>
    <mergeCell ref="B75:B80"/>
    <mergeCell ref="B82:B87"/>
    <mergeCell ref="C127:C132"/>
    <mergeCell ref="C54:C59"/>
    <mergeCell ref="B9:B14"/>
    <mergeCell ref="B92:B97"/>
    <mergeCell ref="B99:B104"/>
    <mergeCell ref="B106:B111"/>
    <mergeCell ref="C166:C171"/>
    <mergeCell ref="B145:B150"/>
    <mergeCell ref="B152:B157"/>
    <mergeCell ref="C99:C104"/>
    <mergeCell ref="C106:C111"/>
    <mergeCell ref="C113:C118"/>
    <mergeCell ref="C120:C125"/>
    <mergeCell ref="C152:C157"/>
    <mergeCell ref="C159:C164"/>
    <mergeCell ref="C138:C143"/>
    <mergeCell ref="C23:C28"/>
    <mergeCell ref="B16:B21"/>
    <mergeCell ref="B23:B28"/>
    <mergeCell ref="C30:C35"/>
    <mergeCell ref="C16:C21"/>
    <mergeCell ref="B30:B35"/>
    <mergeCell ref="C224:C229"/>
    <mergeCell ref="B217:B222"/>
    <mergeCell ref="B224:B229"/>
    <mergeCell ref="C40:C45"/>
    <mergeCell ref="C47:C52"/>
    <mergeCell ref="C217:C222"/>
    <mergeCell ref="B40:B45"/>
    <mergeCell ref="C173:C178"/>
    <mergeCell ref="B159:B164"/>
    <mergeCell ref="B166:B171"/>
    <mergeCell ref="B173:B178"/>
    <mergeCell ref="C61:C66"/>
    <mergeCell ref="C68:C73"/>
    <mergeCell ref="C75:C80"/>
    <mergeCell ref="C82:C87"/>
    <mergeCell ref="C92:C9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K57"/>
  <sheetViews>
    <sheetView showGridLines="0" workbookViewId="0">
      <selection activeCell="J16" sqref="J16"/>
    </sheetView>
  </sheetViews>
  <sheetFormatPr baseColWidth="10" defaultColWidth="11.44140625" defaultRowHeight="15" x14ac:dyDescent="0.25"/>
  <cols>
    <col min="1" max="2" width="11.44140625" style="2"/>
    <col min="3" max="3" width="24.6640625" style="2" customWidth="1"/>
    <col min="4" max="4" width="11.44140625" style="2"/>
    <col min="5" max="5" width="13" style="2" customWidth="1"/>
    <col min="6" max="6" width="11.44140625" style="2"/>
    <col min="7" max="7" width="26.6640625" style="2" customWidth="1"/>
    <col min="8" max="8" width="11.44140625" style="2"/>
    <col min="9" max="9" width="32.109375" style="2" bestFit="1" customWidth="1"/>
    <col min="10" max="16384" width="11.44140625" style="2"/>
  </cols>
  <sheetData>
    <row r="2" spans="2:11" ht="17.399999999999999" x14ac:dyDescent="0.3">
      <c r="B2" s="1" t="s">
        <v>500</v>
      </c>
    </row>
    <row r="3" spans="2:11" ht="18" thickBot="1" x14ac:dyDescent="0.35">
      <c r="B3" s="1"/>
    </row>
    <row r="4" spans="2:11" ht="15.6" x14ac:dyDescent="0.3">
      <c r="B4" s="53" t="s">
        <v>26</v>
      </c>
      <c r="C4" s="25"/>
      <c r="D4" s="25"/>
      <c r="E4" s="25"/>
      <c r="F4" s="25"/>
      <c r="G4" s="26"/>
    </row>
    <row r="5" spans="2:11" x14ac:dyDescent="0.25">
      <c r="B5" s="36" t="s">
        <v>450</v>
      </c>
      <c r="C5" s="2" t="s">
        <v>496</v>
      </c>
      <c r="G5" s="30"/>
    </row>
    <row r="6" spans="2:11" x14ac:dyDescent="0.25">
      <c r="B6" s="42">
        <v>154</v>
      </c>
      <c r="C6" s="51" t="str">
        <f>'DIAGNOSTICO ASPECTOS SOCIALES'!N11</f>
        <v>Promedio</v>
      </c>
      <c r="G6" s="30"/>
    </row>
    <row r="7" spans="2:11" ht="15.6" thickBot="1" x14ac:dyDescent="0.3">
      <c r="B7" s="42">
        <v>155</v>
      </c>
      <c r="C7" s="51" t="str">
        <f>'DIAGNOSTICO ASPECTOS SOCIALES'!N18</f>
        <v>Promedio</v>
      </c>
      <c r="G7" s="30"/>
    </row>
    <row r="8" spans="2:11" x14ac:dyDescent="0.25">
      <c r="B8" s="42">
        <v>156</v>
      </c>
      <c r="C8" s="8" t="str">
        <f>'DIAGNOSTICO ASPECTOS SOCIALES'!N25</f>
        <v>Promedio</v>
      </c>
      <c r="G8" s="30"/>
      <c r="H8" s="46"/>
      <c r="I8" s="25"/>
      <c r="J8" s="25"/>
      <c r="K8" s="26"/>
    </row>
    <row r="9" spans="2:11" x14ac:dyDescent="0.25">
      <c r="B9" s="42">
        <v>157</v>
      </c>
      <c r="C9" s="8" t="str">
        <f>'DIAGNOSTICO ASPECTOS SOCIALES'!N32</f>
        <v>Promedio</v>
      </c>
      <c r="G9" s="30"/>
      <c r="H9" s="36"/>
      <c r="I9" s="8" t="s">
        <v>399</v>
      </c>
      <c r="J9" s="8" t="e">
        <f>SUMIF(C6:C9,"&gt;0",C6:C9)/COUNTIF(C6:C9,"&gt;0")</f>
        <v>#DIV/0!</v>
      </c>
      <c r="K9" s="30"/>
    </row>
    <row r="10" spans="2:11" x14ac:dyDescent="0.25">
      <c r="B10" s="44"/>
      <c r="G10" s="30"/>
      <c r="H10" s="36"/>
      <c r="I10" s="8" t="s">
        <v>400</v>
      </c>
      <c r="J10" s="8" t="e">
        <f>SUMIF(C12:C18,"&gt;0",C12:C18)/COUNTIF(C12:C18,"&gt;0")</f>
        <v>#DIV/0!</v>
      </c>
      <c r="K10" s="30"/>
    </row>
    <row r="11" spans="2:11" ht="15.6" x14ac:dyDescent="0.3">
      <c r="B11" s="70" t="s">
        <v>27</v>
      </c>
      <c r="G11" s="30"/>
      <c r="H11" s="36"/>
      <c r="I11" s="8" t="s">
        <v>401</v>
      </c>
      <c r="J11" s="8" t="e">
        <f>SUMIF(C21:C26,"&gt;0",C21:C26)/COUNTIF(C21:C26,"&gt;0")</f>
        <v>#DIV/0!</v>
      </c>
      <c r="K11" s="30"/>
    </row>
    <row r="12" spans="2:11" x14ac:dyDescent="0.25">
      <c r="B12" s="42">
        <v>158</v>
      </c>
      <c r="C12" s="8" t="str">
        <f>'DIAGNOSTICO ASPECTOS SOCIALES'!N42</f>
        <v>Promedio</v>
      </c>
      <c r="G12" s="30"/>
      <c r="H12" s="36"/>
      <c r="I12" s="8" t="s">
        <v>402</v>
      </c>
      <c r="J12" s="8" t="e">
        <f>SUMIF(C29:C34,"&gt;0",C29:C34)/COUNTIF(C29:C34,"&gt;0")</f>
        <v>#DIV/0!</v>
      </c>
      <c r="K12" s="30"/>
    </row>
    <row r="13" spans="2:11" x14ac:dyDescent="0.25">
      <c r="B13" s="42">
        <v>159</v>
      </c>
      <c r="C13" s="8" t="str">
        <f>'DIAGNOSTICO ASPECTOS SOCIALES'!N49</f>
        <v>Promedio</v>
      </c>
      <c r="G13" s="30"/>
      <c r="H13" s="36"/>
      <c r="I13" s="8" t="s">
        <v>403</v>
      </c>
      <c r="J13" s="8" t="e">
        <f>SUMIF(C37:C48,"&gt;0",C37:C48)/COUNTIF(C37:C48,"&gt;0")</f>
        <v>#DIV/0!</v>
      </c>
      <c r="K13" s="30"/>
    </row>
    <row r="14" spans="2:11" x14ac:dyDescent="0.25">
      <c r="B14" s="42">
        <v>160</v>
      </c>
      <c r="C14" s="8" t="str">
        <f>'DIAGNOSTICO ASPECTOS SOCIALES'!N56</f>
        <v>Promedio</v>
      </c>
      <c r="G14" s="30"/>
      <c r="H14" s="36"/>
      <c r="I14" s="8" t="s">
        <v>404</v>
      </c>
      <c r="J14" s="8" t="e">
        <f>SUMIF(C51:C56,"&gt;0",C51:C56)/COUNTIF(C51:C56,"&gt;0")</f>
        <v>#DIV/0!</v>
      </c>
      <c r="K14" s="30"/>
    </row>
    <row r="15" spans="2:11" ht="15.6" thickBot="1" x14ac:dyDescent="0.3">
      <c r="B15" s="42">
        <v>161</v>
      </c>
      <c r="C15" s="8" t="str">
        <f>'DIAGNOSTICO ASPECTOS SOCIALES'!N63</f>
        <v>Promedio</v>
      </c>
      <c r="G15" s="30"/>
      <c r="H15" s="37"/>
      <c r="I15" s="38"/>
      <c r="J15" s="38"/>
      <c r="K15" s="39"/>
    </row>
    <row r="16" spans="2:11" x14ac:dyDescent="0.25">
      <c r="B16" s="42">
        <v>162</v>
      </c>
      <c r="C16" s="8" t="str">
        <f>'DIAGNOSTICO ASPECTOS SOCIALES'!N70</f>
        <v>Promedio</v>
      </c>
      <c r="G16" s="30"/>
      <c r="I16" s="2" t="s">
        <v>500</v>
      </c>
      <c r="J16" s="2" t="e">
        <f>((SUM(J9:J15)/6)*100)/6</f>
        <v>#DIV/0!</v>
      </c>
    </row>
    <row r="17" spans="2:7" x14ac:dyDescent="0.25">
      <c r="B17" s="42">
        <v>163</v>
      </c>
      <c r="C17" s="8" t="str">
        <f>'DIAGNOSTICO ASPECTOS SOCIALES'!N77</f>
        <v>Promedio</v>
      </c>
      <c r="G17" s="30"/>
    </row>
    <row r="18" spans="2:7" x14ac:dyDescent="0.25">
      <c r="B18" s="42">
        <v>164</v>
      </c>
      <c r="C18" s="8" t="str">
        <f>'DIAGNOSTICO ASPECTOS SOCIALES'!N84</f>
        <v>Promedio</v>
      </c>
      <c r="G18" s="30"/>
    </row>
    <row r="19" spans="2:7" x14ac:dyDescent="0.25">
      <c r="B19" s="44"/>
      <c r="G19" s="30"/>
    </row>
    <row r="20" spans="2:7" ht="15.6" x14ac:dyDescent="0.3">
      <c r="B20" s="70" t="s">
        <v>28</v>
      </c>
      <c r="G20" s="30"/>
    </row>
    <row r="21" spans="2:7" x14ac:dyDescent="0.25">
      <c r="B21" s="42">
        <v>165</v>
      </c>
      <c r="C21" s="8" t="str">
        <f>'DIAGNOSTICO ASPECTOS SOCIALES'!N94</f>
        <v>Promedio</v>
      </c>
      <c r="G21" s="30"/>
    </row>
    <row r="22" spans="2:7" x14ac:dyDescent="0.25">
      <c r="B22" s="42">
        <v>166</v>
      </c>
      <c r="C22" s="8" t="str">
        <f>'DIAGNOSTICO ASPECTOS SOCIALES'!N101</f>
        <v>Promedio</v>
      </c>
      <c r="G22" s="30"/>
    </row>
    <row r="23" spans="2:7" x14ac:dyDescent="0.25">
      <c r="B23" s="42">
        <v>167</v>
      </c>
      <c r="C23" s="8" t="str">
        <f>'DIAGNOSTICO ASPECTOS SOCIALES'!N108</f>
        <v>Promedio</v>
      </c>
      <c r="G23" s="30"/>
    </row>
    <row r="24" spans="2:7" x14ac:dyDescent="0.25">
      <c r="B24" s="42">
        <v>168</v>
      </c>
      <c r="C24" s="8" t="str">
        <f>'DIAGNOSTICO ASPECTOS SOCIALES'!N115</f>
        <v>Promedio</v>
      </c>
      <c r="G24" s="30"/>
    </row>
    <row r="25" spans="2:7" x14ac:dyDescent="0.25">
      <c r="B25" s="42">
        <v>169</v>
      </c>
      <c r="C25" s="8" t="str">
        <f>'DIAGNOSTICO ASPECTOS SOCIALES'!N122</f>
        <v>Promedio</v>
      </c>
      <c r="G25" s="30"/>
    </row>
    <row r="26" spans="2:7" x14ac:dyDescent="0.25">
      <c r="B26" s="42">
        <v>170</v>
      </c>
      <c r="C26" s="8" t="str">
        <f>'DIAGNOSTICO ASPECTOS SOCIALES'!N129</f>
        <v>Promedio</v>
      </c>
      <c r="G26" s="30"/>
    </row>
    <row r="27" spans="2:7" x14ac:dyDescent="0.25">
      <c r="B27" s="44"/>
      <c r="G27" s="30"/>
    </row>
    <row r="28" spans="2:7" ht="15.6" x14ac:dyDescent="0.3">
      <c r="B28" s="70" t="s">
        <v>504</v>
      </c>
      <c r="G28" s="30"/>
    </row>
    <row r="29" spans="2:7" x14ac:dyDescent="0.25">
      <c r="B29" s="42">
        <v>171</v>
      </c>
      <c r="C29" s="8" t="str">
        <f>'DIAGNOSTICO ASPECTOS SOCIALES'!N140</f>
        <v>Promedio</v>
      </c>
      <c r="G29" s="30"/>
    </row>
    <row r="30" spans="2:7" x14ac:dyDescent="0.25">
      <c r="B30" s="42">
        <v>172</v>
      </c>
      <c r="C30" s="8" t="str">
        <f>'DIAGNOSTICO ASPECTOS SOCIALES'!N147</f>
        <v>Promedio</v>
      </c>
      <c r="G30" s="30"/>
    </row>
    <row r="31" spans="2:7" x14ac:dyDescent="0.25">
      <c r="B31" s="42">
        <v>173</v>
      </c>
      <c r="C31" s="8" t="str">
        <f>'DIAGNOSTICO ASPECTOS SOCIALES'!N154</f>
        <v>Promedio</v>
      </c>
      <c r="G31" s="30"/>
    </row>
    <row r="32" spans="2:7" x14ac:dyDescent="0.25">
      <c r="B32" s="42">
        <v>174</v>
      </c>
      <c r="C32" s="8" t="str">
        <f>'DIAGNOSTICO ASPECTOS SOCIALES'!N161</f>
        <v>Promedio</v>
      </c>
      <c r="G32" s="30"/>
    </row>
    <row r="33" spans="2:7" x14ac:dyDescent="0.25">
      <c r="B33" s="42">
        <v>175</v>
      </c>
      <c r="C33" s="8" t="str">
        <f>'DIAGNOSTICO ASPECTOS SOCIALES'!N168</f>
        <v>Promedio</v>
      </c>
      <c r="G33" s="30"/>
    </row>
    <row r="34" spans="2:7" x14ac:dyDescent="0.25">
      <c r="B34" s="42">
        <v>176</v>
      </c>
      <c r="C34" s="8" t="str">
        <f>'DIAGNOSTICO ASPECTOS SOCIALES'!N175</f>
        <v>Promedio</v>
      </c>
      <c r="G34" s="30"/>
    </row>
    <row r="35" spans="2:7" x14ac:dyDescent="0.25">
      <c r="B35" s="44"/>
      <c r="G35" s="30"/>
    </row>
    <row r="36" spans="2:7" ht="15.6" x14ac:dyDescent="0.3">
      <c r="B36" s="70" t="s">
        <v>332</v>
      </c>
      <c r="G36" s="30"/>
    </row>
    <row r="37" spans="2:7" x14ac:dyDescent="0.25">
      <c r="B37" s="42">
        <v>177</v>
      </c>
      <c r="C37" s="51" t="str">
        <f>'DIAGNOSTICO ASPECTOS SOCIALES'!N184</f>
        <v>Promedio</v>
      </c>
      <c r="G37" s="30"/>
    </row>
    <row r="38" spans="2:7" x14ac:dyDescent="0.25">
      <c r="B38" s="42">
        <v>178</v>
      </c>
      <c r="C38" s="51" t="str">
        <f>'DIAGNOSTICO ASPECTOS SOCIALES'!N191</f>
        <v>Promedio</v>
      </c>
      <c r="G38" s="30"/>
    </row>
    <row r="39" spans="2:7" x14ac:dyDescent="0.25">
      <c r="B39" s="42">
        <v>179</v>
      </c>
      <c r="C39" s="8" t="str">
        <f>'DIAGNOSTICO ASPECTOS SOCIALES'!N198</f>
        <v>Promedio</v>
      </c>
      <c r="G39" s="30"/>
    </row>
    <row r="40" spans="2:7" x14ac:dyDescent="0.25">
      <c r="B40" s="42">
        <v>180</v>
      </c>
      <c r="C40" s="8" t="str">
        <f>'DIAGNOSTICO ASPECTOS SOCIALES'!N205</f>
        <v>Promedio</v>
      </c>
      <c r="G40" s="30"/>
    </row>
    <row r="41" spans="2:7" x14ac:dyDescent="0.25">
      <c r="B41" s="42">
        <v>181</v>
      </c>
      <c r="C41" s="8" t="str">
        <f>'DIAGNOSTICO ASPECTOS SOCIALES'!N212</f>
        <v>Promedio</v>
      </c>
      <c r="G41" s="30"/>
    </row>
    <row r="42" spans="2:7" x14ac:dyDescent="0.25">
      <c r="B42" s="42">
        <v>182</v>
      </c>
      <c r="C42" s="8" t="str">
        <f>'DIAGNOSTICO ASPECTOS SOCIALES'!N219</f>
        <v>Promedio</v>
      </c>
      <c r="G42" s="30"/>
    </row>
    <row r="43" spans="2:7" x14ac:dyDescent="0.25">
      <c r="B43" s="42">
        <v>186</v>
      </c>
      <c r="C43" s="8" t="str">
        <f>'DIAGNOSTICO ASPECTOS SOCIALES'!N226</f>
        <v>Promedio</v>
      </c>
      <c r="G43" s="30"/>
    </row>
    <row r="44" spans="2:7" x14ac:dyDescent="0.25">
      <c r="B44" s="42">
        <v>184</v>
      </c>
      <c r="C44" s="8" t="str">
        <f>'DIAGNOSTICO ASPECTOS SOCIALES'!N233</f>
        <v>Promedio</v>
      </c>
      <c r="G44" s="30"/>
    </row>
    <row r="45" spans="2:7" x14ac:dyDescent="0.25">
      <c r="B45" s="42">
        <v>185</v>
      </c>
      <c r="C45" s="8" t="str">
        <f>'DIAGNOSTICO ASPECTOS SOCIALES'!N240</f>
        <v>Promedio</v>
      </c>
      <c r="G45" s="30"/>
    </row>
    <row r="46" spans="2:7" x14ac:dyDescent="0.25">
      <c r="B46" s="42">
        <v>186</v>
      </c>
      <c r="C46" s="8" t="str">
        <f>'DIAGNOSTICO ASPECTOS SOCIALES'!N247</f>
        <v>Promedio</v>
      </c>
      <c r="G46" s="30"/>
    </row>
    <row r="47" spans="2:7" x14ac:dyDescent="0.25">
      <c r="B47" s="42">
        <v>187</v>
      </c>
      <c r="C47" s="8" t="str">
        <f>'DIAGNOSTICO ASPECTOS SOCIALES'!N254</f>
        <v>Promedio</v>
      </c>
      <c r="G47" s="30"/>
    </row>
    <row r="48" spans="2:7" x14ac:dyDescent="0.25">
      <c r="B48" s="42">
        <v>188</v>
      </c>
      <c r="C48" s="8" t="str">
        <f>'DIAGNOSTICO ASPECTOS SOCIALES'!N261</f>
        <v>Promedio</v>
      </c>
      <c r="G48" s="30"/>
    </row>
    <row r="49" spans="2:7" x14ac:dyDescent="0.25">
      <c r="B49" s="44"/>
      <c r="G49" s="30"/>
    </row>
    <row r="50" spans="2:7" ht="15.6" x14ac:dyDescent="0.3">
      <c r="B50" s="70" t="s">
        <v>505</v>
      </c>
      <c r="G50" s="30"/>
    </row>
    <row r="51" spans="2:7" x14ac:dyDescent="0.25">
      <c r="B51" s="42">
        <v>189</v>
      </c>
      <c r="C51" s="8" t="str">
        <f>'DIAGNOSTICO ASPECTOS SOCIALES'!N271</f>
        <v>Promedio</v>
      </c>
      <c r="G51" s="30"/>
    </row>
    <row r="52" spans="2:7" x14ac:dyDescent="0.25">
      <c r="B52" s="42">
        <v>190</v>
      </c>
      <c r="C52" s="8" t="str">
        <f>'DIAGNOSTICO ASPECTOS SOCIALES'!N278</f>
        <v>Promedio</v>
      </c>
      <c r="G52" s="30"/>
    </row>
    <row r="53" spans="2:7" x14ac:dyDescent="0.25">
      <c r="B53" s="42">
        <v>191</v>
      </c>
      <c r="C53" s="8" t="str">
        <f>'DIAGNOSTICO ASPECTOS SOCIALES'!N285</f>
        <v>Promedio</v>
      </c>
      <c r="G53" s="30"/>
    </row>
    <row r="54" spans="2:7" x14ac:dyDescent="0.25">
      <c r="B54" s="42">
        <v>192</v>
      </c>
      <c r="C54" s="8" t="str">
        <f>'DIAGNOSTICO ASPECTOS SOCIALES'!N292</f>
        <v>Promedio</v>
      </c>
      <c r="G54" s="30"/>
    </row>
    <row r="55" spans="2:7" x14ac:dyDescent="0.25">
      <c r="B55" s="42">
        <v>193</v>
      </c>
      <c r="C55" s="8" t="str">
        <f>'DIAGNOSTICO ASPECTOS SOCIALES'!N299</f>
        <v>Promedio</v>
      </c>
      <c r="G55" s="30"/>
    </row>
    <row r="56" spans="2:7" x14ac:dyDescent="0.25">
      <c r="B56" s="42">
        <v>194</v>
      </c>
      <c r="C56" s="8" t="str">
        <f>'DIAGNOSTICO ASPECTOS SOCIALES'!N306</f>
        <v>Promedio</v>
      </c>
      <c r="G56" s="30"/>
    </row>
    <row r="57" spans="2:7" ht="15.6" thickBot="1" x14ac:dyDescent="0.3">
      <c r="B57" s="37"/>
      <c r="C57" s="38"/>
      <c r="D57" s="38"/>
      <c r="E57" s="38"/>
      <c r="F57" s="38"/>
      <c r="G57" s="39"/>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N125"/>
  <sheetViews>
    <sheetView showGridLines="0" zoomScaleNormal="100" workbookViewId="0">
      <selection activeCell="G121" sqref="G121"/>
    </sheetView>
  </sheetViews>
  <sheetFormatPr baseColWidth="10" defaultColWidth="11.44140625" defaultRowHeight="15" x14ac:dyDescent="0.25"/>
  <cols>
    <col min="1" max="2" width="11.44140625" style="2"/>
    <col min="3" max="3" width="28.5546875" style="2" customWidth="1"/>
    <col min="4" max="4" width="2.88671875" style="2" customWidth="1"/>
    <col min="5" max="5" width="2.5546875" style="2" customWidth="1"/>
    <col min="6" max="6" width="6.44140625" style="2" customWidth="1"/>
    <col min="7" max="7" width="2.5546875" style="2" customWidth="1"/>
    <col min="8" max="8" width="4.6640625" style="2" customWidth="1"/>
    <col min="9" max="9" width="2.5546875" style="2" customWidth="1"/>
    <col min="10" max="10" width="5.33203125" style="2" customWidth="1"/>
    <col min="11" max="11" width="2.5546875" style="2" customWidth="1"/>
    <col min="12" max="12" width="5.109375" style="2" customWidth="1"/>
    <col min="13" max="14" width="14.44140625" style="2" bestFit="1" customWidth="1"/>
    <col min="15" max="17" width="11.44140625" style="2"/>
    <col min="18" max="18" width="28.5546875" style="2" customWidth="1"/>
    <col min="19" max="19" width="2.88671875" style="2" customWidth="1"/>
    <col min="20" max="20" width="2.5546875" style="2" customWidth="1"/>
    <col min="21" max="21" width="6.44140625" style="2" customWidth="1"/>
    <col min="22" max="22" width="2.5546875" style="2" customWidth="1"/>
    <col min="23" max="23" width="4.6640625" style="2" customWidth="1"/>
    <col min="24" max="24" width="2.5546875" style="2" customWidth="1"/>
    <col min="25" max="25" width="5.33203125" style="2" customWidth="1"/>
    <col min="26" max="26" width="2.5546875" style="2" customWidth="1"/>
    <col min="27" max="27" width="5.109375" style="2" customWidth="1"/>
    <col min="28" max="28" width="14.44140625" style="2" bestFit="1" customWidth="1"/>
    <col min="29" max="16384" width="11.44140625" style="2"/>
  </cols>
  <sheetData>
    <row r="2" spans="2:14" ht="17.399999999999999" x14ac:dyDescent="0.3">
      <c r="B2" s="1" t="s">
        <v>441</v>
      </c>
    </row>
    <row r="4" spans="2:14" ht="15.6" x14ac:dyDescent="0.3">
      <c r="B4" s="3" t="s">
        <v>506</v>
      </c>
    </row>
    <row r="5" spans="2:14" ht="15.6" x14ac:dyDescent="0.3">
      <c r="E5" s="3">
        <v>3</v>
      </c>
      <c r="F5" s="3"/>
      <c r="G5" s="3">
        <v>2</v>
      </c>
      <c r="H5" s="3"/>
      <c r="I5" s="3">
        <v>1</v>
      </c>
      <c r="J5" s="3"/>
      <c r="K5" s="3">
        <v>0</v>
      </c>
    </row>
    <row r="6" spans="2:14" ht="15.6" x14ac:dyDescent="0.3">
      <c r="E6" s="3"/>
      <c r="F6" s="3"/>
      <c r="G6" s="3"/>
      <c r="H6" s="3"/>
      <c r="I6" s="3"/>
      <c r="J6" s="3"/>
      <c r="K6" s="3"/>
    </row>
    <row r="7" spans="2:14" ht="15.6" x14ac:dyDescent="0.3">
      <c r="B7" s="3" t="s">
        <v>439</v>
      </c>
    </row>
    <row r="8" spans="2:14" ht="15.6" thickBot="1" x14ac:dyDescent="0.3"/>
    <row r="9" spans="2:14" x14ac:dyDescent="0.25">
      <c r="B9" s="108" t="s">
        <v>362</v>
      </c>
      <c r="C9" s="108" t="s">
        <v>361</v>
      </c>
      <c r="D9" s="22"/>
      <c r="E9" s="23"/>
      <c r="F9" s="24"/>
      <c r="G9" s="25"/>
      <c r="H9" s="25"/>
      <c r="I9" s="25"/>
      <c r="J9" s="25"/>
      <c r="K9" s="25"/>
      <c r="L9" s="26"/>
    </row>
    <row r="10" spans="2:14" ht="15.6" thickBot="1" x14ac:dyDescent="0.3">
      <c r="B10" s="109"/>
      <c r="C10" s="109"/>
      <c r="D10" s="27"/>
      <c r="E10" s="28"/>
      <c r="F10" s="29"/>
      <c r="L10" s="30"/>
    </row>
    <row r="11" spans="2:14" ht="16.2" thickBot="1" x14ac:dyDescent="0.35">
      <c r="B11" s="109"/>
      <c r="C11" s="109"/>
      <c r="D11" s="27"/>
      <c r="E11" s="31"/>
      <c r="F11" s="32" t="s">
        <v>0</v>
      </c>
      <c r="G11" s="33"/>
      <c r="H11" s="3" t="s">
        <v>2</v>
      </c>
      <c r="I11" s="33"/>
      <c r="J11" s="34" t="s">
        <v>3</v>
      </c>
      <c r="K11" s="33"/>
      <c r="L11" s="35" t="s">
        <v>4</v>
      </c>
      <c r="M11" s="2" t="str">
        <f>IF(E11="X","",IF(G11="X","",IF(I11="X","",IF(K11="X","","Elegir opción"))))</f>
        <v>Elegir opción</v>
      </c>
      <c r="N11" s="28" t="str">
        <f>IF(E11="X",3,IF(G11="X",2,IF(I11="X",1,IF(K11="X",0,"Promedio"))))</f>
        <v>Promedio</v>
      </c>
    </row>
    <row r="12" spans="2:14" x14ac:dyDescent="0.25">
      <c r="B12" s="109"/>
      <c r="C12" s="109"/>
      <c r="D12" s="36"/>
      <c r="L12" s="30"/>
    </row>
    <row r="13" spans="2:14" x14ac:dyDescent="0.25">
      <c r="B13" s="109"/>
      <c r="C13" s="109"/>
      <c r="D13" s="36"/>
      <c r="L13" s="30"/>
    </row>
    <row r="14" spans="2:14" ht="15.6" thickBot="1" x14ac:dyDescent="0.3">
      <c r="B14" s="110"/>
      <c r="C14" s="110"/>
      <c r="D14" s="37"/>
      <c r="E14" s="38"/>
      <c r="F14" s="38"/>
      <c r="G14" s="38"/>
      <c r="H14" s="38"/>
      <c r="I14" s="38"/>
      <c r="J14" s="38"/>
      <c r="K14" s="38"/>
      <c r="L14" s="39"/>
    </row>
    <row r="15" spans="2:14" ht="15.6" thickBot="1" x14ac:dyDescent="0.3"/>
    <row r="16" spans="2:14" x14ac:dyDescent="0.25">
      <c r="B16" s="115" t="s">
        <v>365</v>
      </c>
      <c r="C16" s="108" t="s">
        <v>507</v>
      </c>
      <c r="D16" s="22"/>
      <c r="E16" s="23"/>
      <c r="F16" s="24"/>
      <c r="G16" s="25"/>
      <c r="H16" s="25"/>
      <c r="I16" s="25"/>
      <c r="J16" s="25"/>
      <c r="K16" s="25"/>
      <c r="L16" s="26"/>
    </row>
    <row r="17" spans="2:14" ht="15.6" thickBot="1" x14ac:dyDescent="0.3">
      <c r="B17" s="116"/>
      <c r="C17" s="109"/>
      <c r="D17" s="27"/>
      <c r="E17" s="28"/>
      <c r="F17" s="29"/>
      <c r="L17" s="30"/>
    </row>
    <row r="18" spans="2:14" ht="16.2" thickBot="1" x14ac:dyDescent="0.35">
      <c r="B18" s="116"/>
      <c r="C18" s="109"/>
      <c r="D18" s="27"/>
      <c r="E18" s="31"/>
      <c r="F18" s="32" t="s">
        <v>0</v>
      </c>
      <c r="G18" s="33"/>
      <c r="H18" s="3" t="s">
        <v>2</v>
      </c>
      <c r="I18" s="33"/>
      <c r="J18" s="34" t="s">
        <v>3</v>
      </c>
      <c r="K18" s="33"/>
      <c r="L18" s="35" t="s">
        <v>4</v>
      </c>
      <c r="M18" s="2" t="str">
        <f>IF(E18="X","",IF(G18="X","",IF(I18="X","",IF(K18="X","","Elegir opción"))))</f>
        <v>Elegir opción</v>
      </c>
      <c r="N18" s="28" t="str">
        <f>IF(E18="X",3,IF(G18="X",2,IF(I18="X",1,IF(K18="X",0,"Promedio"))))</f>
        <v>Promedio</v>
      </c>
    </row>
    <row r="19" spans="2:14" x14ac:dyDescent="0.25">
      <c r="B19" s="116"/>
      <c r="C19" s="109"/>
      <c r="D19" s="36"/>
      <c r="L19" s="30"/>
    </row>
    <row r="20" spans="2:14" x14ac:dyDescent="0.25">
      <c r="B20" s="116"/>
      <c r="C20" s="109"/>
      <c r="D20" s="36"/>
      <c r="L20" s="30"/>
    </row>
    <row r="21" spans="2:14" ht="15.6" thickBot="1" x14ac:dyDescent="0.3">
      <c r="B21" s="117"/>
      <c r="C21" s="110"/>
      <c r="D21" s="37"/>
      <c r="E21" s="38"/>
      <c r="F21" s="38"/>
      <c r="G21" s="38"/>
      <c r="H21" s="38"/>
      <c r="I21" s="38"/>
      <c r="J21" s="38"/>
      <c r="K21" s="38"/>
      <c r="L21" s="39"/>
    </row>
    <row r="22" spans="2:14" ht="15.6" thickBot="1" x14ac:dyDescent="0.3"/>
    <row r="23" spans="2:14" x14ac:dyDescent="0.25">
      <c r="B23" s="115" t="s">
        <v>366</v>
      </c>
      <c r="C23" s="108" t="s">
        <v>514</v>
      </c>
      <c r="D23" s="22"/>
      <c r="E23" s="23"/>
      <c r="F23" s="24"/>
      <c r="G23" s="25"/>
      <c r="H23" s="25"/>
      <c r="I23" s="25"/>
      <c r="J23" s="25"/>
      <c r="K23" s="25"/>
      <c r="L23" s="26"/>
    </row>
    <row r="24" spans="2:14" ht="15.6" thickBot="1" x14ac:dyDescent="0.3">
      <c r="B24" s="116"/>
      <c r="C24" s="109"/>
      <c r="D24" s="27"/>
      <c r="E24" s="28"/>
      <c r="F24" s="29"/>
      <c r="L24" s="30"/>
    </row>
    <row r="25" spans="2:14" ht="16.2" thickBot="1" x14ac:dyDescent="0.35">
      <c r="B25" s="116"/>
      <c r="C25" s="109"/>
      <c r="D25" s="27"/>
      <c r="E25" s="31"/>
      <c r="F25" s="32" t="s">
        <v>0</v>
      </c>
      <c r="G25" s="33"/>
      <c r="H25" s="3" t="s">
        <v>2</v>
      </c>
      <c r="I25" s="33"/>
      <c r="J25" s="34" t="s">
        <v>3</v>
      </c>
      <c r="K25" s="33"/>
      <c r="L25" s="35" t="s">
        <v>4</v>
      </c>
      <c r="M25" s="2" t="str">
        <f>IF(E25="X","",IF(G25="X","",IF(I25="X","",IF(K25="X","","Elegir opción"))))</f>
        <v>Elegir opción</v>
      </c>
      <c r="N25" s="28" t="str">
        <f>IF(E25="X",3,IF(G25="X",2,IF(I25="X",1,IF(K25="X",0,"Promedio"))))</f>
        <v>Promedio</v>
      </c>
    </row>
    <row r="26" spans="2:14" x14ac:dyDescent="0.25">
      <c r="B26" s="116"/>
      <c r="C26" s="109"/>
      <c r="D26" s="36"/>
      <c r="L26" s="30"/>
    </row>
    <row r="27" spans="2:14" x14ac:dyDescent="0.25">
      <c r="B27" s="116"/>
      <c r="C27" s="109"/>
      <c r="D27" s="36"/>
      <c r="L27" s="30"/>
    </row>
    <row r="28" spans="2:14" ht="15.6" thickBot="1" x14ac:dyDescent="0.3">
      <c r="B28" s="117"/>
      <c r="C28" s="110"/>
      <c r="D28" s="37"/>
      <c r="E28" s="38"/>
      <c r="F28" s="38"/>
      <c r="G28" s="38"/>
      <c r="H28" s="38"/>
      <c r="I28" s="38"/>
      <c r="J28" s="38"/>
      <c r="K28" s="38"/>
      <c r="L28" s="39"/>
    </row>
    <row r="29" spans="2:14" ht="15.6" thickBot="1" x14ac:dyDescent="0.3"/>
    <row r="30" spans="2:14" x14ac:dyDescent="0.25">
      <c r="B30" s="115" t="s">
        <v>367</v>
      </c>
      <c r="C30" s="108" t="s">
        <v>508</v>
      </c>
      <c r="D30" s="22"/>
      <c r="E30" s="23"/>
      <c r="F30" s="24"/>
      <c r="G30" s="25"/>
      <c r="H30" s="25"/>
      <c r="I30" s="25"/>
      <c r="J30" s="25"/>
      <c r="K30" s="25"/>
      <c r="L30" s="26"/>
    </row>
    <row r="31" spans="2:14" ht="15.6" thickBot="1" x14ac:dyDescent="0.3">
      <c r="B31" s="116"/>
      <c r="C31" s="109"/>
      <c r="D31" s="27"/>
      <c r="E31" s="28"/>
      <c r="F31" s="29"/>
      <c r="L31" s="30"/>
    </row>
    <row r="32" spans="2:14" ht="16.2" thickBot="1" x14ac:dyDescent="0.35">
      <c r="B32" s="116"/>
      <c r="C32" s="109"/>
      <c r="D32" s="27"/>
      <c r="E32" s="31"/>
      <c r="F32" s="32" t="s">
        <v>0</v>
      </c>
      <c r="G32" s="33"/>
      <c r="H32" s="3" t="s">
        <v>2</v>
      </c>
      <c r="I32" s="33"/>
      <c r="J32" s="34" t="s">
        <v>3</v>
      </c>
      <c r="K32" s="33"/>
      <c r="L32" s="35" t="s">
        <v>4</v>
      </c>
      <c r="M32" s="2" t="str">
        <f>IF(E32="X","",IF(G32="X","",IF(I32="X","",IF(K32="X","","Elegir opción"))))</f>
        <v>Elegir opción</v>
      </c>
      <c r="N32" s="28" t="str">
        <f>IF(E32="X",3,IF(G32="X",2,IF(I32="X",1,IF(K32="X",0,"Promedio"))))</f>
        <v>Promedio</v>
      </c>
    </row>
    <row r="33" spans="2:14" x14ac:dyDescent="0.25">
      <c r="B33" s="116"/>
      <c r="C33" s="109"/>
      <c r="D33" s="36"/>
      <c r="L33" s="30"/>
    </row>
    <row r="34" spans="2:14" x14ac:dyDescent="0.25">
      <c r="B34" s="116"/>
      <c r="C34" s="109"/>
      <c r="D34" s="36"/>
      <c r="L34" s="30"/>
    </row>
    <row r="35" spans="2:14" ht="15.6" thickBot="1" x14ac:dyDescent="0.3">
      <c r="B35" s="117"/>
      <c r="C35" s="110"/>
      <c r="D35" s="37"/>
      <c r="E35" s="38"/>
      <c r="F35" s="38"/>
      <c r="G35" s="38"/>
      <c r="H35" s="38"/>
      <c r="I35" s="38"/>
      <c r="J35" s="38"/>
      <c r="K35" s="38"/>
      <c r="L35" s="39"/>
    </row>
    <row r="36" spans="2:14" ht="15.6" thickBot="1" x14ac:dyDescent="0.3"/>
    <row r="37" spans="2:14" x14ac:dyDescent="0.25">
      <c r="B37" s="115" t="s">
        <v>368</v>
      </c>
      <c r="C37" s="108" t="s">
        <v>363</v>
      </c>
      <c r="D37" s="22"/>
      <c r="E37" s="23"/>
      <c r="F37" s="24"/>
      <c r="G37" s="25"/>
      <c r="H37" s="25"/>
      <c r="I37" s="25"/>
      <c r="J37" s="25"/>
      <c r="K37" s="25"/>
      <c r="L37" s="26"/>
    </row>
    <row r="38" spans="2:14" ht="15.6" thickBot="1" x14ac:dyDescent="0.3">
      <c r="B38" s="116"/>
      <c r="C38" s="109"/>
      <c r="D38" s="27"/>
      <c r="E38" s="28"/>
      <c r="F38" s="29"/>
      <c r="L38" s="30"/>
    </row>
    <row r="39" spans="2:14" ht="16.2" thickBot="1" x14ac:dyDescent="0.35">
      <c r="B39" s="116"/>
      <c r="C39" s="109"/>
      <c r="D39" s="27"/>
      <c r="E39" s="31"/>
      <c r="F39" s="32" t="s">
        <v>0</v>
      </c>
      <c r="G39" s="33"/>
      <c r="H39" s="3" t="s">
        <v>2</v>
      </c>
      <c r="I39" s="33"/>
      <c r="J39" s="34" t="s">
        <v>3</v>
      </c>
      <c r="K39" s="33"/>
      <c r="L39" s="35" t="s">
        <v>4</v>
      </c>
      <c r="M39" s="2" t="str">
        <f>IF(E39="X","",IF(G39="X","",IF(I39="X","",IF(K39="X","","Elegir opción"))))</f>
        <v>Elegir opción</v>
      </c>
      <c r="N39" s="28" t="str">
        <f>IF(E39="X",3,IF(G39="X",2,IF(I39="X",1,IF(K39="X",0,"Promedio"))))</f>
        <v>Promedio</v>
      </c>
    </row>
    <row r="40" spans="2:14" x14ac:dyDescent="0.25">
      <c r="B40" s="116"/>
      <c r="C40" s="109"/>
      <c r="D40" s="36"/>
      <c r="L40" s="30"/>
    </row>
    <row r="41" spans="2:14" ht="39.75" customHeight="1" x14ac:dyDescent="0.25">
      <c r="B41" s="116"/>
      <c r="C41" s="109"/>
      <c r="D41" s="36"/>
      <c r="L41" s="30"/>
    </row>
    <row r="42" spans="2:14" ht="15.6" thickBot="1" x14ac:dyDescent="0.3">
      <c r="B42" s="117"/>
      <c r="C42" s="110"/>
      <c r="D42" s="37"/>
      <c r="E42" s="38"/>
      <c r="F42" s="38"/>
      <c r="G42" s="38"/>
      <c r="H42" s="38"/>
      <c r="I42" s="38"/>
      <c r="J42" s="38"/>
      <c r="K42" s="38"/>
      <c r="L42" s="39"/>
    </row>
    <row r="43" spans="2:14" ht="15.6" thickBot="1" x14ac:dyDescent="0.3"/>
    <row r="44" spans="2:14" x14ac:dyDescent="0.25">
      <c r="B44" s="115" t="s">
        <v>369</v>
      </c>
      <c r="C44" s="108" t="s">
        <v>509</v>
      </c>
      <c r="D44" s="22"/>
      <c r="E44" s="23"/>
      <c r="F44" s="24"/>
      <c r="G44" s="25"/>
      <c r="H44" s="25"/>
      <c r="I44" s="25"/>
      <c r="J44" s="25"/>
      <c r="K44" s="25"/>
      <c r="L44" s="26"/>
    </row>
    <row r="45" spans="2:14" ht="15.6" thickBot="1" x14ac:dyDescent="0.3">
      <c r="B45" s="116"/>
      <c r="C45" s="109"/>
      <c r="D45" s="27"/>
      <c r="E45" s="28"/>
      <c r="F45" s="29"/>
      <c r="L45" s="30"/>
    </row>
    <row r="46" spans="2:14" ht="16.2" thickBot="1" x14ac:dyDescent="0.35">
      <c r="B46" s="116"/>
      <c r="C46" s="109"/>
      <c r="D46" s="27"/>
      <c r="E46" s="31"/>
      <c r="F46" s="32" t="s">
        <v>0</v>
      </c>
      <c r="G46" s="33"/>
      <c r="H46" s="3" t="s">
        <v>2</v>
      </c>
      <c r="I46" s="33"/>
      <c r="J46" s="34" t="s">
        <v>3</v>
      </c>
      <c r="K46" s="33"/>
      <c r="L46" s="35" t="s">
        <v>4</v>
      </c>
      <c r="M46" s="2" t="str">
        <f>IF(E46="X","",IF(G46="X","",IF(I46="X","",IF(K46="X","","Elegir opción"))))</f>
        <v>Elegir opción</v>
      </c>
      <c r="N46" s="28" t="str">
        <f>IF(E46="X",3,IF(G46="X",2,IF(I46="X",1,IF(K46="X",0,"Promedio"))))</f>
        <v>Promedio</v>
      </c>
    </row>
    <row r="47" spans="2:14" x14ac:dyDescent="0.25">
      <c r="B47" s="116"/>
      <c r="C47" s="109"/>
      <c r="D47" s="36"/>
      <c r="L47" s="30"/>
    </row>
    <row r="48" spans="2:14" x14ac:dyDescent="0.25">
      <c r="B48" s="116"/>
      <c r="C48" s="109"/>
      <c r="D48" s="36"/>
      <c r="L48" s="30"/>
    </row>
    <row r="49" spans="2:14" ht="15.6" thickBot="1" x14ac:dyDescent="0.3">
      <c r="B49" s="117"/>
      <c r="C49" s="110"/>
      <c r="D49" s="37"/>
      <c r="E49" s="38"/>
      <c r="F49" s="38"/>
      <c r="G49" s="38"/>
      <c r="H49" s="38"/>
      <c r="I49" s="38"/>
      <c r="J49" s="38"/>
      <c r="K49" s="38"/>
      <c r="L49" s="39"/>
    </row>
    <row r="50" spans="2:14" ht="15.6" thickBot="1" x14ac:dyDescent="0.3"/>
    <row r="51" spans="2:14" x14ac:dyDescent="0.25">
      <c r="B51" s="115" t="s">
        <v>370</v>
      </c>
      <c r="C51" s="108" t="s">
        <v>364</v>
      </c>
      <c r="D51" s="22"/>
      <c r="E51" s="23"/>
      <c r="F51" s="24"/>
      <c r="G51" s="25"/>
      <c r="H51" s="25"/>
      <c r="I51" s="25"/>
      <c r="J51" s="25"/>
      <c r="K51" s="25"/>
      <c r="L51" s="26"/>
    </row>
    <row r="52" spans="2:14" ht="15.6" thickBot="1" x14ac:dyDescent="0.3">
      <c r="B52" s="116"/>
      <c r="C52" s="109"/>
      <c r="D52" s="27"/>
      <c r="E52" s="28"/>
      <c r="F52" s="29"/>
      <c r="L52" s="30"/>
    </row>
    <row r="53" spans="2:14" ht="16.2" thickBot="1" x14ac:dyDescent="0.35">
      <c r="B53" s="116"/>
      <c r="C53" s="109"/>
      <c r="D53" s="27"/>
      <c r="E53" s="31"/>
      <c r="F53" s="32" t="s">
        <v>0</v>
      </c>
      <c r="G53" s="33"/>
      <c r="H53" s="3" t="s">
        <v>2</v>
      </c>
      <c r="I53" s="33"/>
      <c r="J53" s="34" t="s">
        <v>3</v>
      </c>
      <c r="K53" s="33"/>
      <c r="L53" s="35" t="s">
        <v>4</v>
      </c>
      <c r="M53" s="2" t="str">
        <f>IF(E53="X","",IF(G53="X","",IF(I53="X","",IF(K53="X","","Elegir opción"))))</f>
        <v>Elegir opción</v>
      </c>
      <c r="N53" s="28" t="str">
        <f>IF(E53="X",3,IF(G53="X",2,IF(I53="X",1,IF(K53="X",0,"Promedio"))))</f>
        <v>Promedio</v>
      </c>
    </row>
    <row r="54" spans="2:14" x14ac:dyDescent="0.25">
      <c r="B54" s="116"/>
      <c r="C54" s="109"/>
      <c r="D54" s="36"/>
      <c r="L54" s="30"/>
    </row>
    <row r="55" spans="2:14" x14ac:dyDescent="0.25">
      <c r="B55" s="116"/>
      <c r="C55" s="109"/>
      <c r="D55" s="36"/>
      <c r="L55" s="30"/>
    </row>
    <row r="56" spans="2:14" ht="15.6" thickBot="1" x14ac:dyDescent="0.3">
      <c r="B56" s="117"/>
      <c r="C56" s="110"/>
      <c r="D56" s="37"/>
      <c r="E56" s="38"/>
      <c r="F56" s="38"/>
      <c r="G56" s="38"/>
      <c r="H56" s="38"/>
      <c r="I56" s="38"/>
      <c r="J56" s="38"/>
      <c r="K56" s="38"/>
      <c r="L56" s="39"/>
    </row>
    <row r="57" spans="2:14" ht="15.6" thickBot="1" x14ac:dyDescent="0.3"/>
    <row r="58" spans="2:14" x14ac:dyDescent="0.25">
      <c r="B58" s="115" t="s">
        <v>371</v>
      </c>
      <c r="C58" s="108" t="s">
        <v>510</v>
      </c>
      <c r="D58" s="22"/>
      <c r="E58" s="23"/>
      <c r="F58" s="24"/>
      <c r="G58" s="25"/>
      <c r="H58" s="25"/>
      <c r="I58" s="25"/>
      <c r="J58" s="25"/>
      <c r="K58" s="25"/>
      <c r="L58" s="26"/>
    </row>
    <row r="59" spans="2:14" ht="15.6" thickBot="1" x14ac:dyDescent="0.3">
      <c r="B59" s="116"/>
      <c r="C59" s="109"/>
      <c r="D59" s="27"/>
      <c r="E59" s="28"/>
      <c r="F59" s="29"/>
      <c r="L59" s="30"/>
    </row>
    <row r="60" spans="2:14" ht="16.2" thickBot="1" x14ac:dyDescent="0.35">
      <c r="B60" s="116"/>
      <c r="C60" s="109"/>
      <c r="D60" s="27"/>
      <c r="E60" s="31"/>
      <c r="F60" s="32" t="s">
        <v>0</v>
      </c>
      <c r="G60" s="33"/>
      <c r="H60" s="3" t="s">
        <v>2</v>
      </c>
      <c r="I60" s="33"/>
      <c r="J60" s="34" t="s">
        <v>3</v>
      </c>
      <c r="K60" s="33"/>
      <c r="L60" s="35" t="s">
        <v>4</v>
      </c>
      <c r="M60" s="2" t="str">
        <f>IF(E60="X","",IF(G60="X","",IF(I60="X","",IF(K60="X","","Elegir opción"))))</f>
        <v>Elegir opción</v>
      </c>
      <c r="N60" s="28" t="str">
        <f>IF(E60="X",3,IF(G60="X",2,IF(I60="X",1,IF(K60="X",0,"Promedio"))))</f>
        <v>Promedio</v>
      </c>
    </row>
    <row r="61" spans="2:14" x14ac:dyDescent="0.25">
      <c r="B61" s="116"/>
      <c r="C61" s="109"/>
      <c r="D61" s="36"/>
      <c r="L61" s="30"/>
    </row>
    <row r="62" spans="2:14" x14ac:dyDescent="0.25">
      <c r="B62" s="116"/>
      <c r="C62" s="109"/>
      <c r="D62" s="36"/>
      <c r="L62" s="30"/>
    </row>
    <row r="63" spans="2:14" ht="15.6" thickBot="1" x14ac:dyDescent="0.3">
      <c r="B63" s="117"/>
      <c r="C63" s="110"/>
      <c r="D63" s="37"/>
      <c r="E63" s="38"/>
      <c r="F63" s="38"/>
      <c r="G63" s="38"/>
      <c r="H63" s="38"/>
      <c r="I63" s="38"/>
      <c r="J63" s="38"/>
      <c r="K63" s="38"/>
      <c r="L63" s="39"/>
    </row>
    <row r="65" spans="2:14" ht="15.6" x14ac:dyDescent="0.3">
      <c r="E65" s="3"/>
      <c r="F65" s="3"/>
      <c r="G65" s="3"/>
      <c r="H65" s="3"/>
      <c r="I65" s="3"/>
      <c r="J65" s="3"/>
      <c r="K65" s="3"/>
    </row>
    <row r="66" spans="2:14" ht="15.6" x14ac:dyDescent="0.3">
      <c r="B66" s="3" t="s">
        <v>440</v>
      </c>
    </row>
    <row r="67" spans="2:14" ht="15.6" thickBot="1" x14ac:dyDescent="0.3"/>
    <row r="68" spans="2:14" x14ac:dyDescent="0.25">
      <c r="B68" s="115" t="s">
        <v>372</v>
      </c>
      <c r="C68" s="108" t="s">
        <v>511</v>
      </c>
      <c r="D68" s="22"/>
      <c r="E68" s="23"/>
      <c r="F68" s="24"/>
      <c r="G68" s="25"/>
      <c r="H68" s="25"/>
      <c r="I68" s="25"/>
      <c r="J68" s="25"/>
      <c r="K68" s="25"/>
      <c r="L68" s="26"/>
    </row>
    <row r="69" spans="2:14" ht="15.6" thickBot="1" x14ac:dyDescent="0.3">
      <c r="B69" s="116"/>
      <c r="C69" s="109"/>
      <c r="D69" s="27"/>
      <c r="E69" s="28"/>
      <c r="F69" s="29"/>
      <c r="L69" s="30"/>
    </row>
    <row r="70" spans="2:14" ht="16.2" thickBot="1" x14ac:dyDescent="0.35">
      <c r="B70" s="116"/>
      <c r="C70" s="109"/>
      <c r="D70" s="27"/>
      <c r="E70" s="31"/>
      <c r="F70" s="32" t="s">
        <v>0</v>
      </c>
      <c r="G70" s="33"/>
      <c r="H70" s="3" t="s">
        <v>2</v>
      </c>
      <c r="I70" s="33"/>
      <c r="J70" s="34" t="s">
        <v>3</v>
      </c>
      <c r="K70" s="33"/>
      <c r="L70" s="35" t="s">
        <v>4</v>
      </c>
      <c r="M70" s="2" t="str">
        <f>IF(E70="X","",IF(G70="X","",IF(I70="X","",IF(K70="X","","Elegir opción"))))</f>
        <v>Elegir opción</v>
      </c>
      <c r="N70" s="28" t="str">
        <f>IF(E70="X",3,IF(G70="X",2,IF(I70="X",1,IF(K70="X",0,"Promedio"))))</f>
        <v>Promedio</v>
      </c>
    </row>
    <row r="71" spans="2:14" x14ac:dyDescent="0.25">
      <c r="B71" s="116"/>
      <c r="C71" s="109"/>
      <c r="D71" s="36"/>
      <c r="L71" s="30"/>
    </row>
    <row r="72" spans="2:14" x14ac:dyDescent="0.25">
      <c r="B72" s="116"/>
      <c r="C72" s="109"/>
      <c r="D72" s="36"/>
      <c r="L72" s="30"/>
    </row>
    <row r="73" spans="2:14" ht="15.6" thickBot="1" x14ac:dyDescent="0.3">
      <c r="B73" s="117"/>
      <c r="C73" s="110"/>
      <c r="D73" s="37"/>
      <c r="E73" s="38"/>
      <c r="F73" s="38"/>
      <c r="G73" s="38"/>
      <c r="H73" s="38"/>
      <c r="I73" s="38"/>
      <c r="J73" s="38"/>
      <c r="K73" s="38"/>
      <c r="L73" s="39"/>
    </row>
    <row r="74" spans="2:14" ht="15.6" thickBot="1" x14ac:dyDescent="0.3"/>
    <row r="75" spans="2:14" x14ac:dyDescent="0.25">
      <c r="B75" s="115" t="s">
        <v>373</v>
      </c>
      <c r="C75" s="108" t="s">
        <v>512</v>
      </c>
      <c r="D75" s="22"/>
      <c r="E75" s="23"/>
      <c r="F75" s="24"/>
      <c r="G75" s="25"/>
      <c r="H75" s="25"/>
      <c r="I75" s="25"/>
      <c r="J75" s="25"/>
      <c r="K75" s="25"/>
      <c r="L75" s="26"/>
    </row>
    <row r="76" spans="2:14" ht="15.6" thickBot="1" x14ac:dyDescent="0.3">
      <c r="B76" s="116"/>
      <c r="C76" s="109"/>
      <c r="D76" s="27"/>
      <c r="E76" s="28"/>
      <c r="F76" s="29"/>
      <c r="L76" s="30"/>
    </row>
    <row r="77" spans="2:14" ht="16.2" thickBot="1" x14ac:dyDescent="0.35">
      <c r="B77" s="116"/>
      <c r="C77" s="109"/>
      <c r="D77" s="27"/>
      <c r="E77" s="31"/>
      <c r="F77" s="32" t="s">
        <v>0</v>
      </c>
      <c r="G77" s="33"/>
      <c r="H77" s="3" t="s">
        <v>2</v>
      </c>
      <c r="I77" s="33"/>
      <c r="J77" s="34" t="s">
        <v>3</v>
      </c>
      <c r="K77" s="33"/>
      <c r="L77" s="35" t="s">
        <v>4</v>
      </c>
      <c r="M77" s="2" t="str">
        <f>IF(E77="X","",IF(G77="X","",IF(I77="X","",IF(K77="X","","Elegir opción"))))</f>
        <v>Elegir opción</v>
      </c>
      <c r="N77" s="28" t="str">
        <f>IF(E77="X",3,IF(G77="X",2,IF(I77="X",1,IF(K77="X",0,"Promedio"))))</f>
        <v>Promedio</v>
      </c>
    </row>
    <row r="78" spans="2:14" x14ac:dyDescent="0.25">
      <c r="B78" s="116"/>
      <c r="C78" s="109"/>
      <c r="D78" s="36"/>
      <c r="L78" s="30"/>
    </row>
    <row r="79" spans="2:14" x14ac:dyDescent="0.25">
      <c r="B79" s="116"/>
      <c r="C79" s="109"/>
      <c r="D79" s="36"/>
      <c r="L79" s="30"/>
    </row>
    <row r="80" spans="2:14" ht="15.6" thickBot="1" x14ac:dyDescent="0.3">
      <c r="B80" s="117"/>
      <c r="C80" s="110"/>
      <c r="D80" s="37"/>
      <c r="E80" s="38"/>
      <c r="F80" s="38"/>
      <c r="G80" s="38"/>
      <c r="H80" s="38"/>
      <c r="I80" s="38"/>
      <c r="J80" s="38"/>
      <c r="K80" s="38"/>
      <c r="L80" s="39"/>
    </row>
    <row r="81" spans="2:14" ht="15.6" thickBot="1" x14ac:dyDescent="0.3"/>
    <row r="82" spans="2:14" x14ac:dyDescent="0.25">
      <c r="B82" s="115" t="s">
        <v>374</v>
      </c>
      <c r="C82" s="108" t="s">
        <v>513</v>
      </c>
      <c r="D82" s="22"/>
      <c r="E82" s="23"/>
      <c r="F82" s="24"/>
      <c r="G82" s="25"/>
      <c r="H82" s="25"/>
      <c r="I82" s="25"/>
      <c r="J82" s="25"/>
      <c r="K82" s="25"/>
      <c r="L82" s="26"/>
    </row>
    <row r="83" spans="2:14" ht="15.6" thickBot="1" x14ac:dyDescent="0.3">
      <c r="B83" s="116"/>
      <c r="C83" s="109"/>
      <c r="D83" s="27"/>
      <c r="E83" s="28"/>
      <c r="F83" s="29"/>
      <c r="L83" s="30"/>
    </row>
    <row r="84" spans="2:14" ht="16.2" thickBot="1" x14ac:dyDescent="0.35">
      <c r="B84" s="116"/>
      <c r="C84" s="109"/>
      <c r="D84" s="27"/>
      <c r="E84" s="31"/>
      <c r="F84" s="32" t="s">
        <v>0</v>
      </c>
      <c r="G84" s="33"/>
      <c r="H84" s="3" t="s">
        <v>2</v>
      </c>
      <c r="I84" s="33"/>
      <c r="J84" s="34" t="s">
        <v>3</v>
      </c>
      <c r="K84" s="33"/>
      <c r="L84" s="35" t="s">
        <v>4</v>
      </c>
      <c r="M84" s="2" t="str">
        <f>IF(E84="X","",IF(G84="X","",IF(I84="X","",IF(K84="X","","Elegir opción"))))</f>
        <v>Elegir opción</v>
      </c>
      <c r="N84" s="28" t="str">
        <f>IF(E84="X",3,IF(G84="X",2,IF(I84="X",1,IF(K84="X",0,"Promedio"))))</f>
        <v>Promedio</v>
      </c>
    </row>
    <row r="85" spans="2:14" x14ac:dyDescent="0.25">
      <c r="B85" s="116"/>
      <c r="C85" s="109"/>
      <c r="D85" s="36"/>
      <c r="L85" s="30"/>
    </row>
    <row r="86" spans="2:14" x14ac:dyDescent="0.25">
      <c r="B86" s="116"/>
      <c r="C86" s="109"/>
      <c r="D86" s="36"/>
      <c r="L86" s="30"/>
    </row>
    <row r="87" spans="2:14" ht="15.6" thickBot="1" x14ac:dyDescent="0.3">
      <c r="B87" s="117"/>
      <c r="C87" s="110"/>
      <c r="D87" s="37"/>
      <c r="E87" s="38"/>
      <c r="F87" s="38"/>
      <c r="G87" s="38"/>
      <c r="H87" s="38"/>
      <c r="I87" s="38"/>
      <c r="J87" s="38"/>
      <c r="K87" s="38"/>
      <c r="L87" s="39"/>
    </row>
    <row r="89" spans="2:14" ht="15.6" x14ac:dyDescent="0.3">
      <c r="B89" s="3" t="s">
        <v>29</v>
      </c>
    </row>
    <row r="90" spans="2:14" ht="15.6" thickBot="1" x14ac:dyDescent="0.3"/>
    <row r="91" spans="2:14" x14ac:dyDescent="0.25">
      <c r="B91" s="115" t="s">
        <v>375</v>
      </c>
      <c r="C91" s="108" t="s">
        <v>515</v>
      </c>
      <c r="D91" s="22"/>
      <c r="E91" s="23"/>
      <c r="F91" s="24"/>
      <c r="G91" s="25"/>
      <c r="H91" s="25"/>
      <c r="I91" s="25"/>
      <c r="J91" s="25"/>
      <c r="K91" s="25"/>
      <c r="L91" s="26"/>
    </row>
    <row r="92" spans="2:14" ht="15.6" thickBot="1" x14ac:dyDescent="0.3">
      <c r="B92" s="116"/>
      <c r="C92" s="109"/>
      <c r="D92" s="27"/>
      <c r="E92" s="28"/>
      <c r="F92" s="29"/>
      <c r="L92" s="30"/>
    </row>
    <row r="93" spans="2:14" ht="16.2" thickBot="1" x14ac:dyDescent="0.35">
      <c r="B93" s="116"/>
      <c r="C93" s="109"/>
      <c r="D93" s="27"/>
      <c r="E93" s="31"/>
      <c r="F93" s="32" t="s">
        <v>0</v>
      </c>
      <c r="G93" s="33"/>
      <c r="H93" s="3" t="s">
        <v>2</v>
      </c>
      <c r="I93" s="33"/>
      <c r="J93" s="34" t="s">
        <v>3</v>
      </c>
      <c r="K93" s="33"/>
      <c r="L93" s="35" t="s">
        <v>4</v>
      </c>
      <c r="M93" s="2" t="str">
        <f>IF(E93="X","",IF(G93="X","",IF(I93="X","",IF(K93="X","","Elegir opción"))))</f>
        <v>Elegir opción</v>
      </c>
      <c r="N93" s="28" t="str">
        <f>IF(E93="X",3,IF(G93="X",2,IF(I93="X",1,IF(K93="X",0,"Promedio"))))</f>
        <v>Promedio</v>
      </c>
    </row>
    <row r="94" spans="2:14" x14ac:dyDescent="0.25">
      <c r="B94" s="116"/>
      <c r="C94" s="109"/>
      <c r="D94" s="36"/>
      <c r="L94" s="30"/>
    </row>
    <row r="95" spans="2:14" x14ac:dyDescent="0.25">
      <c r="B95" s="116"/>
      <c r="C95" s="109"/>
      <c r="D95" s="36"/>
      <c r="L95" s="30"/>
    </row>
    <row r="96" spans="2:14" ht="15.6" thickBot="1" x14ac:dyDescent="0.3">
      <c r="B96" s="117"/>
      <c r="C96" s="110"/>
      <c r="D96" s="37"/>
      <c r="E96" s="38"/>
      <c r="F96" s="38"/>
      <c r="G96" s="38"/>
      <c r="H96" s="38"/>
      <c r="I96" s="38"/>
      <c r="J96" s="38"/>
      <c r="K96" s="38"/>
      <c r="L96" s="39"/>
    </row>
    <row r="97" spans="2:14" ht="15.6" thickBot="1" x14ac:dyDescent="0.3"/>
    <row r="98" spans="2:14" x14ac:dyDescent="0.25">
      <c r="B98" s="115" t="s">
        <v>376</v>
      </c>
      <c r="C98" s="108" t="s">
        <v>516</v>
      </c>
      <c r="D98" s="22"/>
      <c r="E98" s="23"/>
      <c r="F98" s="24"/>
      <c r="G98" s="25"/>
      <c r="H98" s="25"/>
      <c r="I98" s="25"/>
      <c r="J98" s="25"/>
      <c r="K98" s="25"/>
      <c r="L98" s="26"/>
    </row>
    <row r="99" spans="2:14" ht="15.6" thickBot="1" x14ac:dyDescent="0.3">
      <c r="B99" s="116"/>
      <c r="C99" s="109"/>
      <c r="D99" s="27"/>
      <c r="E99" s="28"/>
      <c r="F99" s="29"/>
      <c r="L99" s="30"/>
    </row>
    <row r="100" spans="2:14" ht="16.2" thickBot="1" x14ac:dyDescent="0.35">
      <c r="B100" s="116"/>
      <c r="C100" s="109"/>
      <c r="D100" s="27"/>
      <c r="E100" s="31"/>
      <c r="F100" s="32" t="s">
        <v>0</v>
      </c>
      <c r="G100" s="33"/>
      <c r="H100" s="3" t="s">
        <v>2</v>
      </c>
      <c r="I100" s="33"/>
      <c r="J100" s="34" t="s">
        <v>3</v>
      </c>
      <c r="K100" s="33"/>
      <c r="L100" s="35" t="s">
        <v>4</v>
      </c>
      <c r="M100" s="2" t="str">
        <f>IF(E100="X","",IF(G100="X","",IF(I100="X","",IF(K100="X","","Elegir opción"))))</f>
        <v>Elegir opción</v>
      </c>
      <c r="N100" s="28" t="str">
        <f>IF(E100="X",3,IF(G100="X",2,IF(I100="X",1,IF(K100="X",0,"Promedio"))))</f>
        <v>Promedio</v>
      </c>
    </row>
    <row r="101" spans="2:14" x14ac:dyDescent="0.25">
      <c r="B101" s="116"/>
      <c r="C101" s="109"/>
      <c r="D101" s="36"/>
      <c r="L101" s="30"/>
    </row>
    <row r="102" spans="2:14" x14ac:dyDescent="0.25">
      <c r="B102" s="116"/>
      <c r="C102" s="109"/>
      <c r="D102" s="36"/>
      <c r="L102" s="30"/>
    </row>
    <row r="103" spans="2:14" ht="15.6" thickBot="1" x14ac:dyDescent="0.3">
      <c r="B103" s="117"/>
      <c r="C103" s="110"/>
      <c r="D103" s="37"/>
      <c r="E103" s="38"/>
      <c r="F103" s="38"/>
      <c r="G103" s="38"/>
      <c r="H103" s="38"/>
      <c r="I103" s="38"/>
      <c r="J103" s="38"/>
      <c r="K103" s="38"/>
      <c r="L103" s="39"/>
    </row>
    <row r="104" spans="2:14" ht="15.6" thickBot="1" x14ac:dyDescent="0.3"/>
    <row r="105" spans="2:14" x14ac:dyDescent="0.25">
      <c r="B105" s="115" t="s">
        <v>377</v>
      </c>
      <c r="C105" s="108" t="s">
        <v>517</v>
      </c>
      <c r="D105" s="22"/>
      <c r="E105" s="23"/>
      <c r="F105" s="24"/>
      <c r="G105" s="25"/>
      <c r="H105" s="25"/>
      <c r="I105" s="25"/>
      <c r="J105" s="25"/>
      <c r="K105" s="25"/>
      <c r="L105" s="26"/>
    </row>
    <row r="106" spans="2:14" ht="15.6" thickBot="1" x14ac:dyDescent="0.3">
      <c r="B106" s="116"/>
      <c r="C106" s="109"/>
      <c r="D106" s="27"/>
      <c r="E106" s="28"/>
      <c r="F106" s="29"/>
      <c r="L106" s="30"/>
    </row>
    <row r="107" spans="2:14" ht="16.2" thickBot="1" x14ac:dyDescent="0.35">
      <c r="B107" s="116"/>
      <c r="C107" s="109"/>
      <c r="D107" s="27"/>
      <c r="E107" s="31"/>
      <c r="F107" s="32" t="s">
        <v>0</v>
      </c>
      <c r="G107" s="33"/>
      <c r="H107" s="3" t="s">
        <v>2</v>
      </c>
      <c r="I107" s="33"/>
      <c r="J107" s="34" t="s">
        <v>3</v>
      </c>
      <c r="K107" s="33"/>
      <c r="L107" s="35" t="s">
        <v>4</v>
      </c>
      <c r="M107" s="2" t="str">
        <f>IF(E107="X","",IF(G107="X","",IF(I107="X","",IF(K107="X","","Elegir opción"))))</f>
        <v>Elegir opción</v>
      </c>
      <c r="N107" s="28" t="str">
        <f>IF(E107="X",3,IF(G107="X",2,IF(I107="X",1,IF(K107="X",0,"Promedio"))))</f>
        <v>Promedio</v>
      </c>
    </row>
    <row r="108" spans="2:14" x14ac:dyDescent="0.25">
      <c r="B108" s="116"/>
      <c r="C108" s="109"/>
      <c r="D108" s="36"/>
      <c r="L108" s="30"/>
    </row>
    <row r="109" spans="2:14" x14ac:dyDescent="0.25">
      <c r="B109" s="116"/>
      <c r="C109" s="109"/>
      <c r="D109" s="36"/>
      <c r="L109" s="30"/>
    </row>
    <row r="110" spans="2:14" ht="15.6" thickBot="1" x14ac:dyDescent="0.3">
      <c r="B110" s="117"/>
      <c r="C110" s="110"/>
      <c r="D110" s="37"/>
      <c r="E110" s="38"/>
      <c r="F110" s="38"/>
      <c r="G110" s="38"/>
      <c r="H110" s="38"/>
      <c r="I110" s="38"/>
      <c r="J110" s="38"/>
      <c r="K110" s="38"/>
      <c r="L110" s="39"/>
    </row>
    <row r="111" spans="2:14" ht="15.6" thickBot="1" x14ac:dyDescent="0.3"/>
    <row r="112" spans="2:14" x14ac:dyDescent="0.25">
      <c r="B112" s="115" t="s">
        <v>378</v>
      </c>
      <c r="C112" s="108" t="s">
        <v>518</v>
      </c>
      <c r="D112" s="22"/>
      <c r="E112" s="23"/>
      <c r="F112" s="24"/>
      <c r="G112" s="25"/>
      <c r="H112" s="25"/>
      <c r="I112" s="25"/>
      <c r="J112" s="25"/>
      <c r="K112" s="25"/>
      <c r="L112" s="26"/>
    </row>
    <row r="113" spans="2:14" ht="15.6" thickBot="1" x14ac:dyDescent="0.3">
      <c r="B113" s="116"/>
      <c r="C113" s="109"/>
      <c r="D113" s="27"/>
      <c r="E113" s="28"/>
      <c r="F113" s="29"/>
      <c r="L113" s="30"/>
    </row>
    <row r="114" spans="2:14" ht="16.2" thickBot="1" x14ac:dyDescent="0.35">
      <c r="B114" s="116"/>
      <c r="C114" s="109"/>
      <c r="D114" s="27"/>
      <c r="E114" s="31"/>
      <c r="F114" s="32" t="s">
        <v>0</v>
      </c>
      <c r="G114" s="33"/>
      <c r="H114" s="3" t="s">
        <v>2</v>
      </c>
      <c r="I114" s="33"/>
      <c r="J114" s="34" t="s">
        <v>3</v>
      </c>
      <c r="K114" s="33"/>
      <c r="L114" s="35" t="s">
        <v>4</v>
      </c>
      <c r="M114" s="2" t="str">
        <f>IF(E114="X","",IF(G114="X","",IF(I114="X","",IF(K114="X","","Elegir opción"))))</f>
        <v>Elegir opción</v>
      </c>
      <c r="N114" s="28" t="str">
        <f>IF(E114="X",3,IF(G114="X",2,IF(I114="X",1,IF(K114="X",0,"Promedio"))))</f>
        <v>Promedio</v>
      </c>
    </row>
    <row r="115" spans="2:14" x14ac:dyDescent="0.25">
      <c r="B115" s="116"/>
      <c r="C115" s="109"/>
      <c r="D115" s="36"/>
      <c r="L115" s="30"/>
    </row>
    <row r="116" spans="2:14" x14ac:dyDescent="0.25">
      <c r="B116" s="116"/>
      <c r="C116" s="109"/>
      <c r="D116" s="36"/>
      <c r="L116" s="30"/>
    </row>
    <row r="117" spans="2:14" ht="15.6" thickBot="1" x14ac:dyDescent="0.3">
      <c r="B117" s="117"/>
      <c r="C117" s="110"/>
      <c r="D117" s="37"/>
      <c r="E117" s="38"/>
      <c r="F117" s="38"/>
      <c r="G117" s="38"/>
      <c r="H117" s="38"/>
      <c r="I117" s="38"/>
      <c r="J117" s="38"/>
      <c r="K117" s="38"/>
      <c r="L117" s="39"/>
    </row>
    <row r="118" spans="2:14" ht="15.6" thickBot="1" x14ac:dyDescent="0.3"/>
    <row r="119" spans="2:14" x14ac:dyDescent="0.25">
      <c r="B119" s="115" t="s">
        <v>379</v>
      </c>
      <c r="C119" s="108" t="s">
        <v>519</v>
      </c>
      <c r="D119" s="22"/>
      <c r="E119" s="23"/>
      <c r="F119" s="24"/>
      <c r="G119" s="25"/>
      <c r="H119" s="25"/>
      <c r="I119" s="25"/>
      <c r="J119" s="25"/>
      <c r="K119" s="25"/>
      <c r="L119" s="26"/>
    </row>
    <row r="120" spans="2:14" ht="15.6" thickBot="1" x14ac:dyDescent="0.3">
      <c r="B120" s="116"/>
      <c r="C120" s="109"/>
      <c r="D120" s="27"/>
      <c r="E120" s="28"/>
      <c r="F120" s="29"/>
      <c r="L120" s="30"/>
    </row>
    <row r="121" spans="2:14" ht="16.2" thickBot="1" x14ac:dyDescent="0.35">
      <c r="B121" s="116"/>
      <c r="C121" s="109"/>
      <c r="D121" s="27"/>
      <c r="E121" s="31"/>
      <c r="F121" s="32" t="s">
        <v>0</v>
      </c>
      <c r="G121" s="33"/>
      <c r="H121" s="3" t="s">
        <v>2</v>
      </c>
      <c r="I121" s="33"/>
      <c r="J121" s="34" t="s">
        <v>3</v>
      </c>
      <c r="K121" s="33"/>
      <c r="L121" s="35" t="s">
        <v>4</v>
      </c>
      <c r="M121" s="2" t="str">
        <f>IF(E121="X","",IF(G121="X","",IF(I121="X","",IF(K121="X","","Elegir opción"))))</f>
        <v>Elegir opción</v>
      </c>
      <c r="N121" s="28" t="str">
        <f>IF(E121="X",3,IF(G121="X",2,IF(I121="X",1,IF(K121="X",0,"Promedio"))))</f>
        <v>Promedio</v>
      </c>
    </row>
    <row r="122" spans="2:14" x14ac:dyDescent="0.25">
      <c r="B122" s="116"/>
      <c r="C122" s="109"/>
      <c r="D122" s="36"/>
      <c r="L122" s="30"/>
    </row>
    <row r="123" spans="2:14" x14ac:dyDescent="0.25">
      <c r="B123" s="116"/>
      <c r="C123" s="109"/>
      <c r="D123" s="36"/>
      <c r="L123" s="30"/>
    </row>
    <row r="124" spans="2:14" ht="26.25" customHeight="1" thickBot="1" x14ac:dyDescent="0.3">
      <c r="B124" s="117"/>
      <c r="C124" s="110"/>
      <c r="D124" s="37"/>
      <c r="E124" s="38"/>
      <c r="F124" s="38"/>
      <c r="G124" s="38"/>
      <c r="H124" s="38"/>
      <c r="I124" s="38"/>
      <c r="J124" s="38"/>
      <c r="K124" s="38"/>
      <c r="L124" s="39"/>
    </row>
    <row r="125" spans="2:14" ht="26.25" customHeight="1" x14ac:dyDescent="0.25"/>
  </sheetData>
  <sheetProtection selectLockedCells="1"/>
  <mergeCells count="32">
    <mergeCell ref="C91:C96"/>
    <mergeCell ref="C98:C103"/>
    <mergeCell ref="C105:C110"/>
    <mergeCell ref="C112:C117"/>
    <mergeCell ref="C119:C124"/>
    <mergeCell ref="C82:C87"/>
    <mergeCell ref="B9:B14"/>
    <mergeCell ref="B16:B21"/>
    <mergeCell ref="B23:B28"/>
    <mergeCell ref="B30:B35"/>
    <mergeCell ref="B37:B42"/>
    <mergeCell ref="C51:C56"/>
    <mergeCell ref="C58:C63"/>
    <mergeCell ref="C68:C73"/>
    <mergeCell ref="C75:C80"/>
    <mergeCell ref="C44:C49"/>
    <mergeCell ref="C9:C14"/>
    <mergeCell ref="C16:C21"/>
    <mergeCell ref="C23:C28"/>
    <mergeCell ref="C30:C35"/>
    <mergeCell ref="C37:C42"/>
    <mergeCell ref="B44:B49"/>
    <mergeCell ref="B51:B56"/>
    <mergeCell ref="B58:B63"/>
    <mergeCell ref="B68:B73"/>
    <mergeCell ref="B75:B80"/>
    <mergeCell ref="B82:B87"/>
    <mergeCell ref="B98:B103"/>
    <mergeCell ref="B105:B110"/>
    <mergeCell ref="B112:B117"/>
    <mergeCell ref="B119:B124"/>
    <mergeCell ref="B91:B9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L26"/>
  <sheetViews>
    <sheetView showGridLines="0" topLeftCell="A2" workbookViewId="0">
      <selection activeCell="H11" sqref="H11"/>
    </sheetView>
  </sheetViews>
  <sheetFormatPr baseColWidth="10" defaultColWidth="11.44140625" defaultRowHeight="15" x14ac:dyDescent="0.25"/>
  <cols>
    <col min="1" max="2" width="11.44140625" style="2"/>
    <col min="3" max="3" width="24.6640625" style="2" customWidth="1"/>
    <col min="4" max="4" width="11.44140625" style="2"/>
    <col min="5" max="5" width="32.44140625" style="2" customWidth="1"/>
    <col min="6" max="6" width="11.44140625" style="2"/>
    <col min="7" max="7" width="23.44140625" style="2" bestFit="1" customWidth="1"/>
    <col min="8" max="16384" width="11.44140625" style="2"/>
  </cols>
  <sheetData>
    <row r="2" spans="2:12" ht="17.399999999999999" x14ac:dyDescent="0.3">
      <c r="B2" s="114" t="s">
        <v>501</v>
      </c>
      <c r="C2" s="114"/>
      <c r="D2" s="114"/>
      <c r="E2" s="114"/>
      <c r="F2" s="114"/>
      <c r="G2" s="114"/>
      <c r="H2" s="114"/>
      <c r="I2" s="114"/>
      <c r="J2" s="114"/>
      <c r="K2" s="114"/>
      <c r="L2" s="114"/>
    </row>
    <row r="3" spans="2:12" ht="18" thickBot="1" x14ac:dyDescent="0.35">
      <c r="B3" s="1"/>
    </row>
    <row r="4" spans="2:12" ht="15.6" x14ac:dyDescent="0.3">
      <c r="B4" s="53" t="s">
        <v>531</v>
      </c>
      <c r="C4" s="25"/>
      <c r="D4" s="25"/>
      <c r="E4" s="26"/>
    </row>
    <row r="5" spans="2:12" ht="15.6" thickBot="1" x14ac:dyDescent="0.3">
      <c r="B5" s="36" t="s">
        <v>450</v>
      </c>
      <c r="C5" s="2" t="s">
        <v>503</v>
      </c>
      <c r="E5" s="30"/>
    </row>
    <row r="6" spans="2:12" x14ac:dyDescent="0.25">
      <c r="B6" s="42">
        <v>195</v>
      </c>
      <c r="C6" s="51" t="str">
        <f>'DIAGNOSTICO ALMACEN'!N11</f>
        <v>Promedio</v>
      </c>
      <c r="E6" s="30"/>
      <c r="F6" s="46"/>
      <c r="G6" s="25"/>
      <c r="H6" s="25"/>
      <c r="I6" s="26"/>
    </row>
    <row r="7" spans="2:12" x14ac:dyDescent="0.25">
      <c r="B7" s="42">
        <v>196</v>
      </c>
      <c r="C7" s="51" t="str">
        <f>'DIAGNOSTICO ALMACEN'!N18</f>
        <v>Promedio</v>
      </c>
      <c r="E7" s="30"/>
      <c r="F7" s="36"/>
      <c r="G7" s="8" t="s">
        <v>405</v>
      </c>
      <c r="H7" s="8" t="e">
        <f>SUMIF(C6:C13,"&gt;0",C6:C13)/COUNTIF(C6:C13,"&gt;0")</f>
        <v>#DIV/0!</v>
      </c>
      <c r="I7" s="30"/>
    </row>
    <row r="8" spans="2:12" x14ac:dyDescent="0.25">
      <c r="B8" s="42">
        <v>197</v>
      </c>
      <c r="C8" s="8" t="str">
        <f>'DIAGNOSTICO ALMACEN'!N25</f>
        <v>Promedio</v>
      </c>
      <c r="E8" s="30"/>
      <c r="F8" s="36"/>
      <c r="G8" s="8" t="s">
        <v>406</v>
      </c>
      <c r="H8" s="8" t="e">
        <f>SUMIF(C16:C18,"&gt;0",C16:C18)/COUNTIF(C16:C18,"&gt;0")</f>
        <v>#DIV/0!</v>
      </c>
      <c r="I8" s="30"/>
    </row>
    <row r="9" spans="2:12" x14ac:dyDescent="0.25">
      <c r="B9" s="42">
        <v>198</v>
      </c>
      <c r="C9" s="8" t="str">
        <f>'DIAGNOSTICO ALMACEN'!N32</f>
        <v>Promedio</v>
      </c>
      <c r="E9" s="30"/>
      <c r="F9" s="36"/>
      <c r="G9" s="8" t="s">
        <v>407</v>
      </c>
      <c r="H9" s="8" t="e">
        <f>SUMIF(C21:C25,"&gt;0",C21:C25)/COUNTIF(C21:C25,"&gt;0")</f>
        <v>#DIV/0!</v>
      </c>
      <c r="I9" s="30"/>
    </row>
    <row r="10" spans="2:12" ht="15.6" thickBot="1" x14ac:dyDescent="0.3">
      <c r="B10" s="42">
        <v>199</v>
      </c>
      <c r="C10" s="8" t="str">
        <f>'DIAGNOSTICO ALMACEN'!N39</f>
        <v>Promedio</v>
      </c>
      <c r="E10" s="30"/>
      <c r="F10" s="37"/>
      <c r="G10" s="38"/>
      <c r="H10" s="38"/>
      <c r="I10" s="39"/>
    </row>
    <row r="11" spans="2:12" x14ac:dyDescent="0.25">
      <c r="B11" s="42">
        <v>200</v>
      </c>
      <c r="C11" s="8" t="str">
        <f>'DIAGNOSTICO ALMACEN'!N46</f>
        <v>Promedio</v>
      </c>
      <c r="E11" s="30"/>
      <c r="G11" s="2" t="s">
        <v>501</v>
      </c>
      <c r="H11" s="2" t="e">
        <f>((SUM(H7:H10)/3)*100)/3</f>
        <v>#DIV/0!</v>
      </c>
    </row>
    <row r="12" spans="2:12" x14ac:dyDescent="0.25">
      <c r="B12" s="42">
        <v>201</v>
      </c>
      <c r="C12" s="8" t="str">
        <f>'DIAGNOSTICO ALMACEN'!N53</f>
        <v>Promedio</v>
      </c>
      <c r="E12" s="30"/>
    </row>
    <row r="13" spans="2:12" x14ac:dyDescent="0.25">
      <c r="B13" s="42">
        <v>202</v>
      </c>
      <c r="C13" s="8" t="str">
        <f>'DIAGNOSTICO ALMACEN'!N60</f>
        <v>Promedio</v>
      </c>
      <c r="E13" s="30"/>
    </row>
    <row r="14" spans="2:12" x14ac:dyDescent="0.25">
      <c r="B14" s="44"/>
      <c r="E14" s="30"/>
    </row>
    <row r="15" spans="2:12" ht="15.6" x14ac:dyDescent="0.3">
      <c r="B15" s="70" t="s">
        <v>440</v>
      </c>
      <c r="E15" s="30"/>
    </row>
    <row r="16" spans="2:12" x14ac:dyDescent="0.25">
      <c r="B16" s="42">
        <v>203</v>
      </c>
      <c r="C16" s="8" t="str">
        <f>'DIAGNOSTICO ALMACEN'!N70</f>
        <v>Promedio</v>
      </c>
      <c r="E16" s="30"/>
    </row>
    <row r="17" spans="2:5" x14ac:dyDescent="0.25">
      <c r="B17" s="42">
        <v>204</v>
      </c>
      <c r="C17" s="8" t="str">
        <f>'DIAGNOSTICO ALMACEN'!N77</f>
        <v>Promedio</v>
      </c>
      <c r="E17" s="30"/>
    </row>
    <row r="18" spans="2:5" x14ac:dyDescent="0.25">
      <c r="B18" s="42">
        <v>205</v>
      </c>
      <c r="C18" s="8" t="str">
        <f>'DIAGNOSTICO ALMACEN'!N84</f>
        <v>Promedio</v>
      </c>
      <c r="E18" s="30"/>
    </row>
    <row r="19" spans="2:5" x14ac:dyDescent="0.25">
      <c r="B19" s="44"/>
      <c r="E19" s="30"/>
    </row>
    <row r="20" spans="2:5" ht="15.6" x14ac:dyDescent="0.3">
      <c r="B20" s="70" t="s">
        <v>29</v>
      </c>
      <c r="E20" s="30"/>
    </row>
    <row r="21" spans="2:5" x14ac:dyDescent="0.25">
      <c r="B21" s="42">
        <v>206</v>
      </c>
      <c r="C21" s="8" t="str">
        <f>'DIAGNOSTICO ALMACEN'!N93</f>
        <v>Promedio</v>
      </c>
      <c r="E21" s="30"/>
    </row>
    <row r="22" spans="2:5" x14ac:dyDescent="0.25">
      <c r="B22" s="42">
        <v>207</v>
      </c>
      <c r="C22" s="8" t="str">
        <f>'DIAGNOSTICO ALMACEN'!N100</f>
        <v>Promedio</v>
      </c>
      <c r="E22" s="30"/>
    </row>
    <row r="23" spans="2:5" x14ac:dyDescent="0.25">
      <c r="B23" s="42">
        <v>208</v>
      </c>
      <c r="C23" s="8" t="str">
        <f>'DIAGNOSTICO ALMACEN'!N107</f>
        <v>Promedio</v>
      </c>
      <c r="E23" s="30"/>
    </row>
    <row r="24" spans="2:5" x14ac:dyDescent="0.25">
      <c r="B24" s="42">
        <v>209</v>
      </c>
      <c r="C24" s="8" t="str">
        <f>'DIAGNOSTICO ALMACEN'!N114</f>
        <v>Promedio</v>
      </c>
      <c r="E24" s="30"/>
    </row>
    <row r="25" spans="2:5" x14ac:dyDescent="0.25">
      <c r="B25" s="42">
        <v>210</v>
      </c>
      <c r="C25" s="8" t="str">
        <f>'DIAGNOSTICO ALMACEN'!N121</f>
        <v>Promedio</v>
      </c>
      <c r="E25" s="30"/>
    </row>
    <row r="26" spans="2:5" ht="15.6" thickBot="1" x14ac:dyDescent="0.3">
      <c r="B26" s="37"/>
      <c r="C26" s="38"/>
      <c r="D26" s="38"/>
      <c r="E26" s="39"/>
    </row>
  </sheetData>
  <mergeCells count="1">
    <mergeCell ref="B2:L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E9"/>
  <sheetViews>
    <sheetView showGridLines="0" workbookViewId="0">
      <selection activeCell="N13" sqref="N13"/>
    </sheetView>
  </sheetViews>
  <sheetFormatPr baseColWidth="10" defaultColWidth="11.44140625" defaultRowHeight="15" x14ac:dyDescent="0.25"/>
  <cols>
    <col min="1" max="2" width="11.44140625" style="2"/>
    <col min="3" max="3" width="43.5546875" style="2" bestFit="1" customWidth="1"/>
    <col min="4" max="16384" width="11.44140625" style="2"/>
  </cols>
  <sheetData>
    <row r="1" spans="2:5" ht="15.6" thickBot="1" x14ac:dyDescent="0.3"/>
    <row r="2" spans="2:5" ht="15.6" x14ac:dyDescent="0.3">
      <c r="B2" s="53" t="s">
        <v>502</v>
      </c>
      <c r="C2" s="25"/>
      <c r="D2" s="25"/>
      <c r="E2" s="26"/>
    </row>
    <row r="3" spans="2:5" x14ac:dyDescent="0.25">
      <c r="B3" s="20" t="s">
        <v>408</v>
      </c>
      <c r="C3" s="8" t="s">
        <v>495</v>
      </c>
      <c r="D3" s="8" t="e">
        <f>'DATOS A.'!H26</f>
        <v>#DIV/0!</v>
      </c>
      <c r="E3" s="30"/>
    </row>
    <row r="4" spans="2:5" x14ac:dyDescent="0.25">
      <c r="B4" s="20" t="s">
        <v>409</v>
      </c>
      <c r="C4" s="8" t="s">
        <v>497</v>
      </c>
      <c r="D4" s="8" t="e">
        <f>'DATOS B.'!H17</f>
        <v>#DIV/0!</v>
      </c>
      <c r="E4" s="30"/>
    </row>
    <row r="5" spans="2:5" x14ac:dyDescent="0.25">
      <c r="B5" s="20" t="s">
        <v>410</v>
      </c>
      <c r="C5" s="8" t="s">
        <v>498</v>
      </c>
      <c r="D5" s="8" t="e">
        <f>'DATOS C.'!H11</f>
        <v>#DIV/0!</v>
      </c>
      <c r="E5" s="30"/>
    </row>
    <row r="6" spans="2:5" x14ac:dyDescent="0.25">
      <c r="B6" s="20" t="s">
        <v>411</v>
      </c>
      <c r="C6" s="8" t="s">
        <v>584</v>
      </c>
      <c r="D6" s="8" t="e">
        <f>'DATOS D.'!G19</f>
        <v>#DIV/0!</v>
      </c>
      <c r="E6" s="30"/>
    </row>
    <row r="7" spans="2:5" x14ac:dyDescent="0.25">
      <c r="B7" s="20" t="s">
        <v>412</v>
      </c>
      <c r="C7" s="8" t="s">
        <v>500</v>
      </c>
      <c r="D7" s="8" t="e">
        <f>'DATOS E.'!J16</f>
        <v>#DIV/0!</v>
      </c>
      <c r="E7" s="30"/>
    </row>
    <row r="8" spans="2:5" x14ac:dyDescent="0.25">
      <c r="B8" s="20" t="s">
        <v>413</v>
      </c>
      <c r="C8" s="8" t="s">
        <v>501</v>
      </c>
      <c r="D8" s="8" t="e">
        <f>'DATOS F.'!H11</f>
        <v>#DIV/0!</v>
      </c>
      <c r="E8" s="30"/>
    </row>
    <row r="9" spans="2:5" ht="15.6" thickBot="1" x14ac:dyDescent="0.3">
      <c r="B9" s="37"/>
      <c r="C9" s="38"/>
      <c r="D9" s="38"/>
      <c r="E9" s="3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vt:i4>
      </vt:variant>
    </vt:vector>
  </HeadingPairs>
  <TitlesOfParts>
    <vt:vector size="15" baseType="lpstr">
      <vt:lpstr>INSTRUCTIVO</vt:lpstr>
      <vt:lpstr>DIAGNOSTICO ECONOMICO</vt:lpstr>
      <vt:lpstr>DATOS A.</vt:lpstr>
      <vt:lpstr>DIAGNOSTICO GESTIÓN AMBIENTAL</vt:lpstr>
      <vt:lpstr>DATOS B.</vt:lpstr>
      <vt:lpstr>DIAGNOSTICO ENERGIA</vt:lpstr>
      <vt:lpstr>DATOS C.</vt:lpstr>
      <vt:lpstr>DIAGNOSTICO SEGURIDAD Y SALUD E</vt:lpstr>
      <vt:lpstr>DATOS D.</vt:lpstr>
      <vt:lpstr>DIAGNOSTICO ASPECTOS SOCIALES</vt:lpstr>
      <vt:lpstr>DATOS E.</vt:lpstr>
      <vt:lpstr>DIAGNOSTICO ALMACEN</vt:lpstr>
      <vt:lpstr>DATOS F.</vt:lpstr>
      <vt:lpstr>PROMEDIO PORCENTUAL DIAGNOSTICO</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Dir.Técnico</cp:lastModifiedBy>
  <cp:lastPrinted>2014-03-16T13:10:53Z</cp:lastPrinted>
  <dcterms:created xsi:type="dcterms:W3CDTF">2014-01-22T15:16:01Z</dcterms:created>
  <dcterms:modified xsi:type="dcterms:W3CDTF">2025-04-24T23:37:30Z</dcterms:modified>
</cp:coreProperties>
</file>